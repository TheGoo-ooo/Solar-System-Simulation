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.fasmeyer\Desktop\"/>
    </mc:Choice>
  </mc:AlternateContent>
  <bookViews>
    <workbookView xWindow="0" yWindow="0" windowWidth="23040" windowHeight="9036"/>
  </bookViews>
  <sheets>
    <sheet name="Tasks" sheetId="1" r:id="rId1"/>
    <sheet name="Feuil1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F25" i="1"/>
  <c r="F22" i="1"/>
  <c r="F23" i="1"/>
  <c r="F21" i="1"/>
  <c r="F19" i="1"/>
  <c r="F20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3" i="1"/>
  <c r="E14" i="1"/>
  <c r="E15" i="1"/>
  <c r="E16" i="1"/>
  <c r="E17" i="1"/>
  <c r="E18" i="1"/>
  <c r="G30" i="1"/>
  <c r="E22" i="1" l="1"/>
  <c r="E23" i="1"/>
  <c r="E21" i="1"/>
  <c r="E5" i="1"/>
  <c r="E6" i="1"/>
  <c r="E7" i="1"/>
  <c r="E8" i="1"/>
  <c r="E9" i="1"/>
  <c r="E10" i="1"/>
  <c r="E11" i="1"/>
  <c r="E12" i="1"/>
  <c r="E13" i="1"/>
  <c r="E19" i="1"/>
  <c r="E20" i="1"/>
  <c r="E24" i="1"/>
  <c r="E3" i="1"/>
  <c r="E4" i="1"/>
</calcChain>
</file>

<file path=xl/sharedStrings.xml><?xml version="1.0" encoding="utf-8"?>
<sst xmlns="http://schemas.openxmlformats.org/spreadsheetml/2006/main" count="229" uniqueCount="93">
  <si>
    <t>Work package</t>
  </si>
  <si>
    <t>Task name</t>
  </si>
  <si>
    <t>Lower</t>
  </si>
  <si>
    <t>Bigger</t>
  </si>
  <si>
    <t>Priority :</t>
  </si>
  <si>
    <t>Conception</t>
  </si>
  <si>
    <t>Total time :</t>
  </si>
  <si>
    <t>ID</t>
  </si>
  <si>
    <t>A1</t>
  </si>
  <si>
    <t>A2</t>
  </si>
  <si>
    <t>A3</t>
  </si>
  <si>
    <t>B1</t>
  </si>
  <si>
    <t>B2</t>
  </si>
  <si>
    <t>C1</t>
  </si>
  <si>
    <t>C2</t>
  </si>
  <si>
    <t>D1</t>
  </si>
  <si>
    <t>D2</t>
  </si>
  <si>
    <t>Depedencies</t>
  </si>
  <si>
    <t>--</t>
  </si>
  <si>
    <t>Semaine 1</t>
  </si>
  <si>
    <t>Semaine 2</t>
  </si>
  <si>
    <t>Semaine 3</t>
  </si>
  <si>
    <t>Semaine 4</t>
  </si>
  <si>
    <t>Semaine 5</t>
  </si>
  <si>
    <t>Semaine 6</t>
  </si>
  <si>
    <t>Semaine 7</t>
  </si>
  <si>
    <t>Semaine 8</t>
  </si>
  <si>
    <t>Fait</t>
  </si>
  <si>
    <t>Planifié</t>
  </si>
  <si>
    <t>p</t>
  </si>
  <si>
    <t>Time</t>
  </si>
  <si>
    <t>Done</t>
  </si>
  <si>
    <t>Exploration</t>
  </si>
  <si>
    <t>Déploiment</t>
  </si>
  <si>
    <t xml:space="preserve">Prise en main AzureML </t>
  </si>
  <si>
    <t>Possibilités et limitations Azure ML</t>
  </si>
  <si>
    <t>ML, classification</t>
  </si>
  <si>
    <t>ML, détectoin d'erreur</t>
  </si>
  <si>
    <t>Anlyse du problème</t>
  </si>
  <si>
    <t>Analyse des données</t>
  </si>
  <si>
    <t>Choix de l'algorithme</t>
  </si>
  <si>
    <t>Traitement des données</t>
  </si>
  <si>
    <t>Création de l'algorithme</t>
  </si>
  <si>
    <t>Python 'Panda'</t>
  </si>
  <si>
    <t>Test/optimisation de l'algorithme</t>
  </si>
  <si>
    <t>Test WebService</t>
  </si>
  <si>
    <t>Déploiment WebService</t>
  </si>
  <si>
    <t>Intégration du module dans le projet</t>
  </si>
  <si>
    <t>Administration</t>
  </si>
  <si>
    <t>Rapport de projet</t>
  </si>
  <si>
    <t>Rapport de séance/Journal de travail</t>
  </si>
  <si>
    <t>Préparation défence du projet</t>
  </si>
  <si>
    <t>A4</t>
  </si>
  <si>
    <t>A5</t>
  </si>
  <si>
    <t>B3</t>
  </si>
  <si>
    <t>B4</t>
  </si>
  <si>
    <t>B5</t>
  </si>
  <si>
    <t>B6</t>
  </si>
  <si>
    <t>B7</t>
  </si>
  <si>
    <t>D3</t>
  </si>
  <si>
    <t>D4</t>
  </si>
  <si>
    <t>Est.</t>
  </si>
  <si>
    <t>Planif.</t>
  </si>
  <si>
    <t>Prio.</t>
  </si>
  <si>
    <t>Fondamentaux</t>
  </si>
  <si>
    <t>Rail system</t>
  </si>
  <si>
    <t>Texture repetition blueprint</t>
  </si>
  <si>
    <t>Mesh splitting</t>
  </si>
  <si>
    <t>Rail entre les scenes</t>
  </si>
  <si>
    <t>Ajout du Lod</t>
  </si>
  <si>
    <t>Tests fonctionnel</t>
  </si>
  <si>
    <t>Journal de travail</t>
  </si>
  <si>
    <t>MàJ planning</t>
  </si>
  <si>
    <t>Séances avec responsable</t>
  </si>
  <si>
    <t>B[1-7]</t>
  </si>
  <si>
    <t>Reprendre le projet (Git Anthony, March, Axel) et intégration</t>
  </si>
  <si>
    <t>Ajout d'effet visuels (propulaseurs, éclairage…)</t>
  </si>
  <si>
    <t>Ajout et recherche d'effets sonores et musiques</t>
  </si>
  <si>
    <t>VR module, tutoriels Unreal Engine 4</t>
  </si>
  <si>
    <t>Fusion des projets en une seule scène</t>
  </si>
  <si>
    <t>Ajout er recherche modèle capsule 3D</t>
  </si>
  <si>
    <t>Menu et boucle de jeu</t>
  </si>
  <si>
    <t>Amélioration, débug</t>
  </si>
  <si>
    <t>D5</t>
  </si>
  <si>
    <t>B8</t>
  </si>
  <si>
    <t>Passage de l'espace à Mars</t>
  </si>
  <si>
    <t>D9</t>
  </si>
  <si>
    <t>D10</t>
  </si>
  <si>
    <t>Tour de l'ISS</t>
  </si>
  <si>
    <t>Visite de Phobos et deimos</t>
  </si>
  <si>
    <t>Anneaux de Saturne, modification LoD et tests</t>
  </si>
  <si>
    <t>Executable et test de l'executable</t>
  </si>
  <si>
    <t>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</si>
</sst>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h&quot;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8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0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0" fontId="0" fillId="0" borderId="4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0" applyNumberFormat="1" applyFill="1" applyBorder="1" applyAlignment="1">
      <alignment horizontal="center"/>
    </xf>
    <xf numFmtId="0" fontId="1" fillId="2" borderId="0" xfId="1" applyFill="1" applyBorder="1"/>
    <xf numFmtId="0" fontId="0" fillId="0" borderId="4" xfId="0" applyBorder="1" applyAlignment="1">
      <alignment horizontal="left"/>
    </xf>
    <xf numFmtId="0" fontId="0" fillId="0" borderId="6" xfId="0" applyFill="1" applyBorder="1"/>
    <xf numFmtId="0" fontId="0" fillId="0" borderId="4" xfId="0" applyFill="1" applyBorder="1"/>
    <xf numFmtId="0" fontId="0" fillId="0" borderId="5" xfId="0" applyFill="1" applyBorder="1"/>
    <xf numFmtId="164" fontId="0" fillId="0" borderId="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1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6" borderId="0" xfId="2" applyFill="1" applyAlignment="1">
      <alignment horizontal="center"/>
    </xf>
    <xf numFmtId="0" fontId="4" fillId="5" borderId="0" xfId="3" applyFill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2" borderId="16" xfId="1" applyFill="1" applyBorder="1" applyAlignment="1">
      <alignment horizontal="center" vertical="center"/>
    </xf>
    <xf numFmtId="0" fontId="1" fillId="2" borderId="17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/>
    </xf>
    <xf numFmtId="0" fontId="1" fillId="2" borderId="19" xfId="1" applyFill="1" applyBorder="1" applyAlignment="1">
      <alignment horizontal="center"/>
    </xf>
    <xf numFmtId="0" fontId="1" fillId="2" borderId="20" xfId="1" applyFill="1" applyBorder="1" applyAlignment="1">
      <alignment horizontal="center"/>
    </xf>
    <xf numFmtId="0" fontId="2" fillId="2" borderId="17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quotePrefix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quotePrefix="1" applyBorder="1" applyAlignment="1">
      <alignment horizontal="center"/>
    </xf>
    <xf numFmtId="0" fontId="0" fillId="0" borderId="27" xfId="0" quotePrefix="1" applyBorder="1" applyAlignment="1">
      <alignment horizontal="center"/>
    </xf>
    <xf numFmtId="0" fontId="0" fillId="0" borderId="27" xfId="0" quotePrefix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quotePrefix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0" fillId="0" borderId="34" xfId="0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quotePrefix="1" applyBorder="1" applyAlignment="1">
      <alignment horizontal="center"/>
    </xf>
    <xf numFmtId="0" fontId="1" fillId="2" borderId="32" xfId="1" applyFill="1" applyBorder="1" applyAlignment="1">
      <alignment horizontal="center" vertical="center"/>
    </xf>
    <xf numFmtId="0" fontId="1" fillId="2" borderId="33" xfId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7" xfId="1" applyFont="1" applyFill="1" applyBorder="1" applyAlignment="1">
      <alignment horizontal="center" vertical="center"/>
    </xf>
  </cellXfs>
  <cellStyles count="4">
    <cellStyle name="Neutre" xfId="3" builtinId="28"/>
    <cellStyle name="Normal" xfId="0" builtinId="0"/>
    <cellStyle name="Satisfaisant" xfId="2" builtinId="26"/>
    <cellStyle name="Titre 1" xfId="1" builtinId="16"/>
  </cellStyles>
  <dxfs count="6">
    <dxf>
      <font>
        <color theme="9" tint="0.39994506668294322"/>
      </font>
      <fill>
        <patternFill>
          <bgColor theme="9" tint="0.39994506668294322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0"/>
  <sheetViews>
    <sheetView tabSelected="1" zoomScale="85" zoomScaleNormal="85" workbookViewId="0">
      <pane xSplit="8" ySplit="2" topLeftCell="S3" activePane="bottomRight" state="frozen"/>
      <selection pane="topRight" activeCell="G1" sqref="G1"/>
      <selection pane="bottomLeft" activeCell="A3" sqref="A3"/>
      <selection pane="bottomRight" activeCell="C9" sqref="C9"/>
    </sheetView>
  </sheetViews>
  <sheetFormatPr baseColWidth="10" defaultRowHeight="14.4" x14ac:dyDescent="0.3"/>
  <cols>
    <col min="1" max="1" width="19.88671875" customWidth="1"/>
    <col min="2" max="2" width="4.33203125" customWidth="1"/>
    <col min="3" max="3" width="70.44140625" customWidth="1"/>
    <col min="4" max="4" width="5.5546875" customWidth="1"/>
    <col min="5" max="5" width="5.88671875" customWidth="1"/>
    <col min="6" max="6" width="7.44140625" customWidth="1"/>
    <col min="7" max="7" width="6" customWidth="1"/>
    <col min="8" max="8" width="13.21875" customWidth="1"/>
    <col min="9" max="839" width="2.21875" customWidth="1"/>
  </cols>
  <sheetData>
    <row r="1" spans="1:88" ht="18" customHeight="1" x14ac:dyDescent="0.4">
      <c r="A1" s="53" t="s">
        <v>0</v>
      </c>
      <c r="B1" s="54" t="s">
        <v>7</v>
      </c>
      <c r="C1" s="54" t="s">
        <v>1</v>
      </c>
      <c r="D1" s="55" t="s">
        <v>30</v>
      </c>
      <c r="E1" s="56"/>
      <c r="F1" s="57"/>
      <c r="G1" s="58" t="s">
        <v>63</v>
      </c>
      <c r="H1" s="59" t="s">
        <v>17</v>
      </c>
      <c r="I1" s="46" t="s">
        <v>19</v>
      </c>
      <c r="J1" s="46"/>
      <c r="K1" s="46"/>
      <c r="L1" s="46"/>
      <c r="M1" s="46"/>
      <c r="N1" s="46"/>
      <c r="O1" s="46"/>
      <c r="P1" s="46"/>
      <c r="Q1" s="46"/>
      <c r="R1" s="47"/>
      <c r="S1" s="45" t="s">
        <v>20</v>
      </c>
      <c r="T1" s="46"/>
      <c r="U1" s="46"/>
      <c r="V1" s="46"/>
      <c r="W1" s="46"/>
      <c r="X1" s="46"/>
      <c r="Y1" s="46"/>
      <c r="Z1" s="46"/>
      <c r="AA1" s="46"/>
      <c r="AB1" s="47"/>
      <c r="AC1" s="45" t="s">
        <v>21</v>
      </c>
      <c r="AD1" s="46"/>
      <c r="AE1" s="46"/>
      <c r="AF1" s="46"/>
      <c r="AG1" s="46"/>
      <c r="AH1" s="46"/>
      <c r="AI1" s="46"/>
      <c r="AJ1" s="46"/>
      <c r="AK1" s="46"/>
      <c r="AL1" s="47"/>
      <c r="AM1" s="45" t="s">
        <v>22</v>
      </c>
      <c r="AN1" s="46"/>
      <c r="AO1" s="46"/>
      <c r="AP1" s="46"/>
      <c r="AQ1" s="46"/>
      <c r="AR1" s="46"/>
      <c r="AS1" s="46"/>
      <c r="AT1" s="46"/>
      <c r="AU1" s="46"/>
      <c r="AV1" s="47"/>
      <c r="AW1" s="45" t="s">
        <v>23</v>
      </c>
      <c r="AX1" s="46"/>
      <c r="AY1" s="46"/>
      <c r="AZ1" s="46"/>
      <c r="BA1" s="46"/>
      <c r="BB1" s="46"/>
      <c r="BC1" s="46"/>
      <c r="BD1" s="46"/>
      <c r="BE1" s="46"/>
      <c r="BF1" s="47"/>
      <c r="BG1" s="45" t="s">
        <v>24</v>
      </c>
      <c r="BH1" s="46"/>
      <c r="BI1" s="46"/>
      <c r="BJ1" s="46"/>
      <c r="BK1" s="46"/>
      <c r="BL1" s="46"/>
      <c r="BM1" s="46"/>
      <c r="BN1" s="46"/>
      <c r="BO1" s="46"/>
      <c r="BP1" s="47"/>
      <c r="BQ1" s="45" t="s">
        <v>25</v>
      </c>
      <c r="BR1" s="46"/>
      <c r="BS1" s="46"/>
      <c r="BT1" s="46"/>
      <c r="BU1" s="46"/>
      <c r="BV1" s="46"/>
      <c r="BW1" s="46"/>
      <c r="BX1" s="46"/>
      <c r="BY1" s="46"/>
      <c r="BZ1" s="47"/>
      <c r="CA1" s="45" t="s">
        <v>26</v>
      </c>
      <c r="CB1" s="46"/>
      <c r="CC1" s="46"/>
      <c r="CD1" s="46"/>
      <c r="CE1" s="46"/>
      <c r="CF1" s="46"/>
      <c r="CG1" s="46"/>
      <c r="CH1" s="46"/>
      <c r="CI1" s="46"/>
      <c r="CJ1" s="47"/>
    </row>
    <row r="2" spans="1:88" ht="20.399999999999999" customHeight="1" thickBot="1" x14ac:dyDescent="0.35">
      <c r="A2" s="79"/>
      <c r="B2" s="80"/>
      <c r="C2" s="80"/>
      <c r="D2" s="81" t="s">
        <v>61</v>
      </c>
      <c r="E2" s="81" t="s">
        <v>31</v>
      </c>
      <c r="F2" s="82" t="s">
        <v>62</v>
      </c>
      <c r="G2" s="83"/>
      <c r="H2" s="84"/>
      <c r="I2" s="1">
        <v>0</v>
      </c>
      <c r="J2" s="1">
        <v>1</v>
      </c>
      <c r="K2" s="1">
        <v>2</v>
      </c>
      <c r="L2" s="1">
        <v>3</v>
      </c>
      <c r="M2" s="1">
        <v>4</v>
      </c>
      <c r="N2" s="1">
        <v>5</v>
      </c>
      <c r="O2" s="1">
        <v>6</v>
      </c>
      <c r="P2" s="1">
        <v>7</v>
      </c>
      <c r="Q2" s="1">
        <v>8</v>
      </c>
      <c r="R2" s="8">
        <v>9</v>
      </c>
      <c r="S2" s="11">
        <v>0</v>
      </c>
      <c r="T2" s="1">
        <v>1</v>
      </c>
      <c r="U2" s="1">
        <v>2</v>
      </c>
      <c r="V2" s="1">
        <v>3</v>
      </c>
      <c r="W2" s="1">
        <v>4</v>
      </c>
      <c r="X2" s="1">
        <v>5</v>
      </c>
      <c r="Y2" s="1">
        <v>6</v>
      </c>
      <c r="Z2" s="1">
        <v>7</v>
      </c>
      <c r="AA2" s="1">
        <v>8</v>
      </c>
      <c r="AB2" s="8">
        <v>9</v>
      </c>
      <c r="AC2" s="11">
        <v>0</v>
      </c>
      <c r="AD2" s="1">
        <v>1</v>
      </c>
      <c r="AE2" s="1">
        <v>2</v>
      </c>
      <c r="AF2" s="1">
        <v>3</v>
      </c>
      <c r="AG2" s="1">
        <v>4</v>
      </c>
      <c r="AH2" s="1">
        <v>5</v>
      </c>
      <c r="AI2" s="1">
        <v>6</v>
      </c>
      <c r="AJ2" s="1">
        <v>7</v>
      </c>
      <c r="AK2" s="1">
        <v>8</v>
      </c>
      <c r="AL2" s="8">
        <v>9</v>
      </c>
      <c r="AM2" s="11">
        <v>0</v>
      </c>
      <c r="AN2" s="1">
        <v>1</v>
      </c>
      <c r="AO2" s="1">
        <v>2</v>
      </c>
      <c r="AP2" s="1">
        <v>3</v>
      </c>
      <c r="AQ2" s="1">
        <v>4</v>
      </c>
      <c r="AR2" s="1">
        <v>5</v>
      </c>
      <c r="AS2" s="1">
        <v>6</v>
      </c>
      <c r="AT2" s="1">
        <v>7</v>
      </c>
      <c r="AU2" s="1">
        <v>8</v>
      </c>
      <c r="AV2" s="8">
        <v>9</v>
      </c>
      <c r="AW2" s="11">
        <v>0</v>
      </c>
      <c r="AX2" s="1">
        <v>1</v>
      </c>
      <c r="AY2" s="1">
        <v>2</v>
      </c>
      <c r="AZ2" s="1">
        <v>3</v>
      </c>
      <c r="BA2" s="1">
        <v>4</v>
      </c>
      <c r="BB2" s="1">
        <v>5</v>
      </c>
      <c r="BC2" s="1">
        <v>6</v>
      </c>
      <c r="BD2" s="1">
        <v>7</v>
      </c>
      <c r="BE2" s="1">
        <v>8</v>
      </c>
      <c r="BF2" s="8">
        <v>9</v>
      </c>
      <c r="BG2" s="11">
        <v>0</v>
      </c>
      <c r="BH2" s="1">
        <v>1</v>
      </c>
      <c r="BI2" s="1">
        <v>2</v>
      </c>
      <c r="BJ2" s="1">
        <v>3</v>
      </c>
      <c r="BK2" s="1">
        <v>4</v>
      </c>
      <c r="BL2" s="1">
        <v>5</v>
      </c>
      <c r="BM2" s="1">
        <v>6</v>
      </c>
      <c r="BN2" s="1">
        <v>7</v>
      </c>
      <c r="BO2" s="1">
        <v>8</v>
      </c>
      <c r="BP2" s="8">
        <v>9</v>
      </c>
      <c r="BQ2" s="11">
        <v>0</v>
      </c>
      <c r="BR2" s="1">
        <v>1</v>
      </c>
      <c r="BS2" s="1">
        <v>2</v>
      </c>
      <c r="BT2" s="1">
        <v>3</v>
      </c>
      <c r="BU2" s="1">
        <v>4</v>
      </c>
      <c r="BV2" s="1">
        <v>5</v>
      </c>
      <c r="BW2" s="1">
        <v>6</v>
      </c>
      <c r="BX2" s="1">
        <v>7</v>
      </c>
      <c r="BY2" s="1">
        <v>8</v>
      </c>
      <c r="BZ2" s="8">
        <v>9</v>
      </c>
      <c r="CA2" s="11">
        <v>0</v>
      </c>
      <c r="CB2" s="1">
        <v>1</v>
      </c>
      <c r="CC2" s="1">
        <v>2</v>
      </c>
      <c r="CD2" s="1">
        <v>3</v>
      </c>
      <c r="CE2" s="1">
        <v>4</v>
      </c>
      <c r="CF2" s="1">
        <v>5</v>
      </c>
      <c r="CG2" s="1">
        <v>6</v>
      </c>
      <c r="CH2" s="1">
        <v>7</v>
      </c>
      <c r="CI2" s="1">
        <v>8</v>
      </c>
      <c r="CJ2" s="8">
        <v>9</v>
      </c>
    </row>
    <row r="3" spans="1:88" x14ac:dyDescent="0.3">
      <c r="A3" s="60" t="s">
        <v>64</v>
      </c>
      <c r="B3" s="25" t="s">
        <v>8</v>
      </c>
      <c r="C3" s="28" t="s">
        <v>75</v>
      </c>
      <c r="D3" s="14">
        <v>48</v>
      </c>
      <c r="E3" s="23">
        <f t="shared" ref="E3:E18" si="0">(COUNTIF($I3:$BT3,"x")*2)</f>
        <v>0</v>
      </c>
      <c r="F3" s="14">
        <f>(COUNTIF($I3:$CJ3,"p")*4)</f>
        <v>48</v>
      </c>
      <c r="G3" s="27">
        <v>1</v>
      </c>
      <c r="H3" s="61" t="s">
        <v>18</v>
      </c>
      <c r="I3" s="1" t="s">
        <v>29</v>
      </c>
      <c r="J3" s="1"/>
      <c r="K3" s="1" t="s">
        <v>29</v>
      </c>
      <c r="L3" s="5" t="s">
        <v>29</v>
      </c>
      <c r="M3" s="5" t="s">
        <v>29</v>
      </c>
      <c r="N3" s="5" t="s">
        <v>29</v>
      </c>
      <c r="O3" s="5" t="s">
        <v>29</v>
      </c>
      <c r="P3" s="5" t="s">
        <v>29</v>
      </c>
      <c r="Q3" s="5" t="s">
        <v>29</v>
      </c>
      <c r="R3" s="8" t="s">
        <v>29</v>
      </c>
      <c r="S3" s="11" t="s">
        <v>29</v>
      </c>
      <c r="T3" s="1"/>
      <c r="U3" s="5" t="s">
        <v>29</v>
      </c>
      <c r="V3" s="5" t="s">
        <v>29</v>
      </c>
      <c r="W3" s="1"/>
      <c r="X3" s="1"/>
      <c r="Y3" s="1"/>
      <c r="Z3" s="1"/>
      <c r="AA3" s="1"/>
      <c r="AB3" s="8"/>
      <c r="AC3" s="11"/>
      <c r="AD3" s="1"/>
      <c r="AE3" s="1"/>
      <c r="AF3" s="1"/>
      <c r="AG3" s="1"/>
      <c r="AH3" s="1"/>
      <c r="AI3" s="1"/>
      <c r="AJ3" s="1"/>
      <c r="AK3" s="1"/>
      <c r="AL3" s="8"/>
      <c r="AM3" s="11"/>
      <c r="AN3" s="1"/>
      <c r="AO3" s="1"/>
      <c r="AP3" s="1"/>
      <c r="AQ3" s="1"/>
      <c r="AR3" s="1"/>
      <c r="AS3" s="1"/>
      <c r="AT3" s="1"/>
      <c r="AU3" s="1"/>
      <c r="AV3" s="8"/>
      <c r="AW3" s="11"/>
      <c r="AX3" s="1"/>
      <c r="AY3" s="1"/>
      <c r="AZ3" s="1"/>
      <c r="BA3" s="1"/>
      <c r="BB3" s="1"/>
      <c r="BC3" s="1"/>
      <c r="BD3" s="1"/>
      <c r="BE3" s="1"/>
      <c r="BF3" s="8"/>
      <c r="BG3" s="11"/>
      <c r="BH3" s="1"/>
      <c r="BI3" s="1"/>
      <c r="BJ3" s="1"/>
      <c r="BK3" s="1"/>
      <c r="BL3" s="1"/>
      <c r="BM3" s="1"/>
      <c r="BN3" s="1"/>
      <c r="BO3" s="1"/>
      <c r="BP3" s="8"/>
      <c r="BQ3" s="11"/>
      <c r="BR3" s="1"/>
      <c r="BS3" s="1"/>
      <c r="BT3" s="1"/>
      <c r="BU3" s="1"/>
      <c r="BV3" s="1"/>
      <c r="BW3" s="1"/>
      <c r="BX3" s="1"/>
      <c r="BY3" s="1"/>
      <c r="BZ3" s="8"/>
      <c r="CA3" s="11"/>
      <c r="CB3" s="1"/>
      <c r="CC3" s="1"/>
      <c r="CD3" s="1"/>
      <c r="CE3" s="1"/>
      <c r="CF3" s="1"/>
      <c r="CG3" s="1"/>
      <c r="CH3" s="1"/>
      <c r="CI3" s="1"/>
      <c r="CJ3" s="8"/>
    </row>
    <row r="4" spans="1:88" x14ac:dyDescent="0.3">
      <c r="A4" s="60"/>
      <c r="B4" s="25" t="s">
        <v>9</v>
      </c>
      <c r="C4" s="28" t="s">
        <v>78</v>
      </c>
      <c r="D4" s="14">
        <v>24</v>
      </c>
      <c r="E4" s="23">
        <f t="shared" si="0"/>
        <v>0</v>
      </c>
      <c r="F4" s="14">
        <f t="shared" ref="F4:F20" si="1">(COUNTIF($I4:$CJ4,"p")*4)</f>
        <v>24</v>
      </c>
      <c r="G4" s="27">
        <v>2</v>
      </c>
      <c r="H4" s="61" t="s">
        <v>18</v>
      </c>
      <c r="I4" s="1"/>
      <c r="J4" s="1"/>
      <c r="K4" s="1"/>
      <c r="L4" s="1"/>
      <c r="M4" s="1"/>
      <c r="N4" s="1"/>
      <c r="O4" s="1"/>
      <c r="P4" s="1"/>
      <c r="Q4" s="1"/>
      <c r="R4" s="8"/>
      <c r="S4" s="11"/>
      <c r="T4" s="1"/>
      <c r="U4" s="1"/>
      <c r="V4" s="1"/>
      <c r="W4" s="1" t="s">
        <v>29</v>
      </c>
      <c r="X4" s="1" t="s">
        <v>29</v>
      </c>
      <c r="Y4" s="1" t="s">
        <v>29</v>
      </c>
      <c r="Z4" s="5" t="s">
        <v>29</v>
      </c>
      <c r="AA4" s="5" t="s">
        <v>29</v>
      </c>
      <c r="AB4" s="8" t="s">
        <v>29</v>
      </c>
      <c r="AC4" s="11"/>
      <c r="AD4" s="1"/>
      <c r="AE4" s="1"/>
      <c r="AF4" s="1"/>
      <c r="AG4" s="1"/>
      <c r="AH4" s="1"/>
      <c r="AI4" s="1"/>
      <c r="AJ4" s="1"/>
      <c r="AK4" s="1"/>
      <c r="AL4" s="8"/>
      <c r="AM4" s="11"/>
      <c r="AN4" s="1"/>
      <c r="AO4" s="1"/>
      <c r="AP4" s="1"/>
      <c r="AQ4" s="1"/>
      <c r="AR4" s="1"/>
      <c r="AS4" s="1"/>
      <c r="AT4" s="1"/>
      <c r="AU4" s="1"/>
      <c r="AV4" s="8"/>
      <c r="AW4" s="11"/>
      <c r="AX4" s="1"/>
      <c r="AY4" s="1"/>
      <c r="AZ4" s="1"/>
      <c r="BA4" s="1"/>
      <c r="BB4" s="1"/>
      <c r="BC4" s="1"/>
      <c r="BD4" s="1"/>
      <c r="BE4" s="1"/>
      <c r="BF4" s="8"/>
      <c r="BG4" s="11"/>
      <c r="BH4" s="1"/>
      <c r="BI4" s="1"/>
      <c r="BJ4" s="1"/>
      <c r="BK4" s="1"/>
      <c r="BL4" s="1"/>
      <c r="BM4" s="1"/>
      <c r="BN4" s="1"/>
      <c r="BO4" s="1"/>
      <c r="BP4" s="8"/>
      <c r="BQ4" s="11"/>
      <c r="BR4" s="1"/>
      <c r="BS4" s="1"/>
      <c r="BT4" s="1"/>
      <c r="BU4" s="1"/>
      <c r="BV4" s="1"/>
      <c r="BW4" s="1"/>
      <c r="BX4" s="1"/>
      <c r="BY4" s="1"/>
      <c r="BZ4" s="8"/>
      <c r="CA4" s="11"/>
      <c r="CB4" s="1"/>
      <c r="CC4" s="1"/>
      <c r="CD4" s="1"/>
      <c r="CE4" s="1"/>
      <c r="CF4" s="1"/>
      <c r="CG4" s="1"/>
      <c r="CH4" s="1"/>
      <c r="CI4" s="1"/>
      <c r="CJ4" s="8"/>
    </row>
    <row r="5" spans="1:88" x14ac:dyDescent="0.3">
      <c r="A5" s="60"/>
      <c r="B5" s="25" t="s">
        <v>10</v>
      </c>
      <c r="C5" s="28" t="s">
        <v>65</v>
      </c>
      <c r="D5" s="14">
        <v>8</v>
      </c>
      <c r="E5" s="23">
        <f t="shared" si="0"/>
        <v>0</v>
      </c>
      <c r="F5" s="14">
        <f t="shared" si="1"/>
        <v>8</v>
      </c>
      <c r="G5" s="27">
        <v>2</v>
      </c>
      <c r="H5" s="61" t="s">
        <v>18</v>
      </c>
      <c r="I5" s="1"/>
      <c r="J5" s="1"/>
      <c r="K5" s="1"/>
      <c r="L5" s="1"/>
      <c r="M5" s="1"/>
      <c r="N5" s="1"/>
      <c r="O5" s="1"/>
      <c r="P5" s="1"/>
      <c r="Q5" s="1"/>
      <c r="R5" s="8"/>
      <c r="S5" s="11"/>
      <c r="T5" s="1"/>
      <c r="U5" s="1"/>
      <c r="V5" s="1"/>
      <c r="W5" s="1"/>
      <c r="X5" s="1"/>
      <c r="Y5" s="1"/>
      <c r="Z5" s="1"/>
      <c r="AA5" s="1"/>
      <c r="AB5" s="8"/>
      <c r="AC5" s="11" t="s">
        <v>29</v>
      </c>
      <c r="AD5" s="1"/>
      <c r="AE5" s="1" t="s">
        <v>29</v>
      </c>
      <c r="AF5" s="1"/>
      <c r="AG5" s="1"/>
      <c r="AH5" s="1"/>
      <c r="AI5" s="1"/>
      <c r="AJ5" s="1"/>
      <c r="AK5" s="1"/>
      <c r="AL5" s="8"/>
      <c r="AM5" s="11"/>
      <c r="AN5" s="1"/>
      <c r="AO5" s="1"/>
      <c r="AP5" s="1"/>
      <c r="AQ5" s="1"/>
      <c r="AR5" s="1"/>
      <c r="AS5" s="1"/>
      <c r="AT5" s="1"/>
      <c r="AU5" s="1"/>
      <c r="AV5" s="8"/>
      <c r="AW5" s="11"/>
      <c r="AX5" s="1"/>
      <c r="AY5" s="1"/>
      <c r="AZ5" s="1"/>
      <c r="BA5" s="1"/>
      <c r="BB5" s="1"/>
      <c r="BC5" s="1"/>
      <c r="BD5" s="1"/>
      <c r="BE5" s="1"/>
      <c r="BF5" s="8"/>
      <c r="BG5" s="11"/>
      <c r="BH5" s="1"/>
      <c r="BI5" s="1"/>
      <c r="BJ5" s="1"/>
      <c r="BK5" s="1"/>
      <c r="BL5" s="1"/>
      <c r="BM5" s="1"/>
      <c r="BN5" s="1"/>
      <c r="BO5" s="1"/>
      <c r="BP5" s="8"/>
      <c r="BQ5" s="11"/>
      <c r="BR5" s="1"/>
      <c r="BS5" s="1"/>
      <c r="BT5" s="1"/>
      <c r="BU5" s="1"/>
      <c r="BV5" s="1"/>
      <c r="BW5" s="1"/>
      <c r="BX5" s="1"/>
      <c r="BY5" s="1"/>
      <c r="BZ5" s="8"/>
      <c r="CA5" s="11"/>
      <c r="CB5" s="1"/>
      <c r="CC5" s="1"/>
      <c r="CD5" s="1"/>
      <c r="CE5" s="1"/>
      <c r="CF5" s="1"/>
      <c r="CG5" s="1"/>
      <c r="CH5" s="1"/>
      <c r="CI5" s="1"/>
      <c r="CJ5" s="8"/>
    </row>
    <row r="6" spans="1:88" x14ac:dyDescent="0.3">
      <c r="A6" s="60"/>
      <c r="B6" s="25" t="s">
        <v>52</v>
      </c>
      <c r="C6" s="28" t="s">
        <v>66</v>
      </c>
      <c r="D6" s="14">
        <v>8</v>
      </c>
      <c r="E6" s="23">
        <f t="shared" si="0"/>
        <v>0</v>
      </c>
      <c r="F6" s="14">
        <f t="shared" si="1"/>
        <v>8</v>
      </c>
      <c r="G6" s="27">
        <v>2</v>
      </c>
      <c r="H6" s="61" t="s">
        <v>18</v>
      </c>
      <c r="I6" s="1"/>
      <c r="J6" s="1"/>
      <c r="K6" s="1"/>
      <c r="L6" s="1"/>
      <c r="M6" s="1"/>
      <c r="N6" s="1"/>
      <c r="O6" s="1"/>
      <c r="P6" s="1"/>
      <c r="Q6" s="1"/>
      <c r="R6" s="8"/>
      <c r="S6" s="11"/>
      <c r="T6" s="1"/>
      <c r="U6" s="1"/>
      <c r="V6" s="1"/>
      <c r="W6" s="1"/>
      <c r="X6" s="1"/>
      <c r="Y6" s="1"/>
      <c r="Z6" s="1"/>
      <c r="AA6" s="1"/>
      <c r="AB6" s="8"/>
      <c r="AC6" s="11"/>
      <c r="AD6" s="1"/>
      <c r="AE6" s="1"/>
      <c r="AF6" s="1" t="s">
        <v>29</v>
      </c>
      <c r="AG6" s="1" t="s">
        <v>29</v>
      </c>
      <c r="AH6" s="1"/>
      <c r="AI6" s="1"/>
      <c r="AJ6" s="1"/>
      <c r="AK6" s="1"/>
      <c r="AL6" s="8"/>
      <c r="AM6" s="11"/>
      <c r="AN6" s="1"/>
      <c r="AO6" s="1"/>
      <c r="AP6" s="1"/>
      <c r="AQ6" s="1"/>
      <c r="AR6" s="1"/>
      <c r="AS6" s="1"/>
      <c r="AT6" s="1"/>
      <c r="AU6" s="1"/>
      <c r="AV6" s="8"/>
      <c r="AW6" s="11"/>
      <c r="AX6" s="1"/>
      <c r="AY6" s="1"/>
      <c r="AZ6" s="1"/>
      <c r="BA6" s="1"/>
      <c r="BB6" s="1"/>
      <c r="BC6" s="1"/>
      <c r="BD6" s="1"/>
      <c r="BE6" s="1"/>
      <c r="BF6" s="8"/>
      <c r="BG6" s="11"/>
      <c r="BH6" s="1"/>
      <c r="BI6" s="1"/>
      <c r="BJ6" s="1"/>
      <c r="BK6" s="1"/>
      <c r="BL6" s="1"/>
      <c r="BM6" s="1"/>
      <c r="BN6" s="1"/>
      <c r="BO6" s="1"/>
      <c r="BP6" s="8"/>
      <c r="BQ6" s="11"/>
      <c r="BR6" s="1"/>
      <c r="BS6" s="1"/>
      <c r="BT6" s="1"/>
      <c r="BU6" s="1"/>
      <c r="BV6" s="1"/>
      <c r="BW6" s="1"/>
      <c r="BX6" s="1"/>
      <c r="BY6" s="1"/>
      <c r="BZ6" s="8"/>
      <c r="CA6" s="11"/>
      <c r="CB6" s="1"/>
      <c r="CC6" s="1"/>
      <c r="CD6" s="1"/>
      <c r="CE6" s="1"/>
      <c r="CF6" s="1"/>
      <c r="CG6" s="1"/>
      <c r="CH6" s="1"/>
      <c r="CI6" s="1"/>
      <c r="CJ6" s="8"/>
    </row>
    <row r="7" spans="1:88" x14ac:dyDescent="0.3">
      <c r="A7" s="62"/>
      <c r="B7" s="25" t="s">
        <v>53</v>
      </c>
      <c r="C7" s="37" t="s">
        <v>67</v>
      </c>
      <c r="D7" s="14">
        <v>8</v>
      </c>
      <c r="E7" s="23">
        <f t="shared" si="0"/>
        <v>0</v>
      </c>
      <c r="F7" s="14">
        <f t="shared" si="1"/>
        <v>8</v>
      </c>
      <c r="G7" s="27">
        <v>2</v>
      </c>
      <c r="H7" s="61" t="s">
        <v>18</v>
      </c>
      <c r="I7" s="1"/>
      <c r="J7" s="1"/>
      <c r="K7" s="1"/>
      <c r="L7" s="1"/>
      <c r="M7" s="1"/>
      <c r="N7" s="1"/>
      <c r="O7" s="1"/>
      <c r="P7" s="1"/>
      <c r="Q7" s="1"/>
      <c r="R7" s="8"/>
      <c r="S7" s="11"/>
      <c r="T7" s="1"/>
      <c r="U7" s="1"/>
      <c r="V7" s="1"/>
      <c r="W7" s="1"/>
      <c r="X7" s="1"/>
      <c r="Y7" s="1"/>
      <c r="Z7" s="1"/>
      <c r="AA7" s="1"/>
      <c r="AB7" s="8"/>
      <c r="AC7" s="11"/>
      <c r="AD7" s="1"/>
      <c r="AE7" s="1"/>
      <c r="AF7" s="1"/>
      <c r="AG7" s="1"/>
      <c r="AH7" s="1" t="s">
        <v>29</v>
      </c>
      <c r="AI7" s="1" t="s">
        <v>29</v>
      </c>
      <c r="AJ7" s="1"/>
      <c r="AK7" s="1"/>
      <c r="AL7" s="8"/>
      <c r="AM7" s="11"/>
      <c r="AN7" s="1"/>
      <c r="AO7" s="1"/>
      <c r="AP7" s="1"/>
      <c r="AQ7" s="1"/>
      <c r="AR7" s="1"/>
      <c r="AS7" s="1"/>
      <c r="AT7" s="1"/>
      <c r="AU7" s="1"/>
      <c r="AV7" s="8"/>
      <c r="AW7" s="11"/>
      <c r="AX7" s="1"/>
      <c r="AY7" s="1"/>
      <c r="AZ7" s="1"/>
      <c r="BA7" s="1"/>
      <c r="BB7" s="1"/>
      <c r="BC7" s="1"/>
      <c r="BD7" s="1"/>
      <c r="BE7" s="1"/>
      <c r="BF7" s="8"/>
      <c r="BG7" s="11"/>
      <c r="BH7" s="1"/>
      <c r="BI7" s="1"/>
      <c r="BJ7" s="1"/>
      <c r="BK7" s="1"/>
      <c r="BL7" s="1"/>
      <c r="BM7" s="1"/>
      <c r="BN7" s="1"/>
      <c r="BO7" s="1"/>
      <c r="BP7" s="8"/>
      <c r="BQ7" s="11"/>
      <c r="BR7" s="1"/>
      <c r="BS7" s="1"/>
      <c r="BT7" s="1"/>
      <c r="BU7" s="1"/>
      <c r="BV7" s="1"/>
      <c r="BW7" s="1"/>
      <c r="BX7" s="1"/>
      <c r="BY7" s="1"/>
      <c r="BZ7" s="8"/>
      <c r="CA7" s="11"/>
      <c r="CB7" s="1"/>
      <c r="CC7" s="1"/>
      <c r="CD7" s="1"/>
      <c r="CE7" s="1"/>
      <c r="CF7" s="1"/>
      <c r="CG7" s="1"/>
      <c r="CH7" s="1"/>
      <c r="CI7" s="1"/>
      <c r="CJ7" s="8"/>
    </row>
    <row r="8" spans="1:88" x14ac:dyDescent="0.3">
      <c r="A8" s="63" t="s">
        <v>5</v>
      </c>
      <c r="B8" s="29" t="s">
        <v>11</v>
      </c>
      <c r="C8" s="40" t="s">
        <v>79</v>
      </c>
      <c r="D8" s="33">
        <v>24</v>
      </c>
      <c r="E8" s="33">
        <f t="shared" si="0"/>
        <v>0</v>
      </c>
      <c r="F8" s="16">
        <f t="shared" si="1"/>
        <v>24</v>
      </c>
      <c r="G8" s="31">
        <v>3</v>
      </c>
      <c r="H8" s="64" t="s">
        <v>8</v>
      </c>
      <c r="I8" s="3"/>
      <c r="J8" s="3"/>
      <c r="K8" s="3"/>
      <c r="L8" s="3"/>
      <c r="M8" s="3"/>
      <c r="N8" s="3"/>
      <c r="O8" s="3"/>
      <c r="P8" s="3"/>
      <c r="Q8" s="3"/>
      <c r="R8" s="10"/>
      <c r="S8" s="9"/>
      <c r="T8" s="3"/>
      <c r="U8" s="3"/>
      <c r="V8" s="3"/>
      <c r="W8" s="3"/>
      <c r="X8" s="3"/>
      <c r="Y8" s="3"/>
      <c r="Z8" s="3"/>
      <c r="AA8" s="3"/>
      <c r="AB8" s="10"/>
      <c r="AC8" s="9"/>
      <c r="AD8" s="3"/>
      <c r="AE8" s="3"/>
      <c r="AF8" s="3"/>
      <c r="AG8" s="3"/>
      <c r="AH8" s="3"/>
      <c r="AI8" s="3"/>
      <c r="AJ8" s="3" t="s">
        <v>29</v>
      </c>
      <c r="AK8" s="3" t="s">
        <v>29</v>
      </c>
      <c r="AL8" s="10" t="s">
        <v>29</v>
      </c>
      <c r="AM8" s="9" t="s">
        <v>29</v>
      </c>
      <c r="AN8" s="3"/>
      <c r="AO8" s="3" t="s">
        <v>29</v>
      </c>
      <c r="AP8" s="3" t="s">
        <v>29</v>
      </c>
      <c r="AQ8" s="3"/>
      <c r="AR8" s="3"/>
      <c r="AS8" s="3"/>
      <c r="AT8" s="3"/>
      <c r="AU8" s="3"/>
      <c r="AV8" s="10"/>
      <c r="AW8" s="9"/>
      <c r="AX8" s="3"/>
      <c r="AY8" s="3"/>
      <c r="AZ8" s="3"/>
      <c r="BA8" s="3"/>
      <c r="BB8" s="3"/>
      <c r="BC8" s="3"/>
      <c r="BD8" s="3"/>
      <c r="BE8" s="3"/>
      <c r="BF8" s="10"/>
      <c r="BG8" s="9"/>
      <c r="BH8" s="3"/>
      <c r="BI8" s="3"/>
      <c r="BJ8" s="3"/>
      <c r="BK8" s="3"/>
      <c r="BL8" s="3"/>
      <c r="BM8" s="3"/>
      <c r="BN8" s="3"/>
      <c r="BO8" s="3"/>
      <c r="BP8" s="10"/>
      <c r="BQ8" s="9"/>
      <c r="BR8" s="3"/>
      <c r="BS8" s="3"/>
      <c r="BT8" s="3"/>
      <c r="BU8" s="3"/>
      <c r="BV8" s="3"/>
      <c r="BW8" s="3"/>
      <c r="BX8" s="3"/>
      <c r="BY8" s="3"/>
      <c r="BZ8" s="10"/>
      <c r="CA8" s="9"/>
      <c r="CB8" s="3"/>
      <c r="CC8" s="3"/>
      <c r="CD8" s="3"/>
      <c r="CE8" s="3"/>
      <c r="CF8" s="3"/>
      <c r="CG8" s="3"/>
      <c r="CH8" s="3"/>
      <c r="CI8" s="3"/>
      <c r="CJ8" s="10"/>
    </row>
    <row r="9" spans="1:88" x14ac:dyDescent="0.3">
      <c r="A9" s="60"/>
      <c r="B9" s="38" t="s">
        <v>12</v>
      </c>
      <c r="C9" s="41" t="s">
        <v>68</v>
      </c>
      <c r="D9" s="34">
        <v>8</v>
      </c>
      <c r="E9" s="34">
        <f t="shared" si="0"/>
        <v>0</v>
      </c>
      <c r="F9" s="14">
        <f t="shared" si="1"/>
        <v>8</v>
      </c>
      <c r="G9" s="28">
        <v>3</v>
      </c>
      <c r="H9" s="65" t="s">
        <v>11</v>
      </c>
      <c r="I9" s="1"/>
      <c r="J9" s="1"/>
      <c r="K9" s="1"/>
      <c r="L9" s="1"/>
      <c r="M9" s="1"/>
      <c r="N9" s="1"/>
      <c r="O9" s="1"/>
      <c r="P9" s="1"/>
      <c r="Q9" s="1"/>
      <c r="R9" s="8"/>
      <c r="S9" s="11"/>
      <c r="T9" s="1"/>
      <c r="U9" s="1"/>
      <c r="V9" s="1"/>
      <c r="W9" s="1"/>
      <c r="X9" s="1"/>
      <c r="Y9" s="1"/>
      <c r="Z9" s="1"/>
      <c r="AA9" s="1"/>
      <c r="AB9" s="8"/>
      <c r="AC9" s="11"/>
      <c r="AD9" s="1"/>
      <c r="AE9" s="1"/>
      <c r="AF9" s="1"/>
      <c r="AG9" s="1"/>
      <c r="AH9" s="1"/>
      <c r="AI9" s="1"/>
      <c r="AJ9" s="1"/>
      <c r="AK9" s="1"/>
      <c r="AL9" s="8"/>
      <c r="AM9" s="11"/>
      <c r="AN9" s="1"/>
      <c r="AO9" s="1"/>
      <c r="AP9" s="1"/>
      <c r="AQ9" s="1" t="s">
        <v>29</v>
      </c>
      <c r="AR9" s="1" t="s">
        <v>29</v>
      </c>
      <c r="AS9" s="1"/>
      <c r="AT9" s="1"/>
      <c r="AU9" s="1"/>
      <c r="AV9" s="8"/>
      <c r="AW9" s="11"/>
      <c r="AX9" s="1"/>
      <c r="AY9" s="1"/>
      <c r="AZ9" s="1"/>
      <c r="BA9" s="1"/>
      <c r="BB9" s="1"/>
      <c r="BC9" s="1"/>
      <c r="BD9" s="1"/>
      <c r="BE9" s="1"/>
      <c r="BF9" s="8"/>
      <c r="BG9" s="11"/>
      <c r="BH9" s="1"/>
      <c r="BI9" s="1"/>
      <c r="BJ9" s="1"/>
      <c r="BK9" s="1"/>
      <c r="BL9" s="1"/>
      <c r="BM9" s="1"/>
      <c r="BN9" s="1"/>
      <c r="BO9" s="1"/>
      <c r="BP9" s="8"/>
      <c r="BQ9" s="11"/>
      <c r="BR9" s="1"/>
      <c r="BS9" s="1"/>
      <c r="BT9" s="1"/>
      <c r="BU9" s="1"/>
      <c r="BV9" s="1"/>
      <c r="BW9" s="1"/>
      <c r="BX9" s="1"/>
      <c r="BY9" s="1"/>
      <c r="BZ9" s="8"/>
      <c r="CA9" s="11"/>
      <c r="CB9" s="1"/>
      <c r="CC9" s="1"/>
      <c r="CD9" s="1"/>
      <c r="CE9" s="1"/>
      <c r="CF9" s="1"/>
      <c r="CG9" s="1"/>
      <c r="CH9" s="1"/>
      <c r="CI9" s="1"/>
      <c r="CJ9" s="8"/>
    </row>
    <row r="10" spans="1:88" x14ac:dyDescent="0.3">
      <c r="A10" s="60"/>
      <c r="B10" s="38" t="s">
        <v>54</v>
      </c>
      <c r="C10" s="41" t="s">
        <v>69</v>
      </c>
      <c r="D10" s="34">
        <v>24</v>
      </c>
      <c r="E10" s="34">
        <f t="shared" si="0"/>
        <v>0</v>
      </c>
      <c r="F10" s="14">
        <f t="shared" si="1"/>
        <v>24</v>
      </c>
      <c r="G10" s="28">
        <v>3</v>
      </c>
      <c r="H10" s="65" t="s">
        <v>11</v>
      </c>
      <c r="I10" s="1"/>
      <c r="J10" s="1"/>
      <c r="K10" s="1"/>
      <c r="L10" s="1"/>
      <c r="M10" s="1"/>
      <c r="N10" s="1"/>
      <c r="O10" s="1"/>
      <c r="P10" s="1"/>
      <c r="Q10" s="1"/>
      <c r="R10" s="8"/>
      <c r="S10" s="11"/>
      <c r="T10" s="1"/>
      <c r="U10" s="1"/>
      <c r="V10" s="1"/>
      <c r="W10" s="1"/>
      <c r="X10" s="1"/>
      <c r="Y10" s="1"/>
      <c r="Z10" s="1"/>
      <c r="AA10" s="1"/>
      <c r="AB10" s="8"/>
      <c r="AC10" s="11"/>
      <c r="AD10" s="1"/>
      <c r="AE10" s="1"/>
      <c r="AF10" s="1"/>
      <c r="AG10" s="1"/>
      <c r="AH10" s="1"/>
      <c r="AI10" s="1"/>
      <c r="AJ10" s="1"/>
      <c r="AK10" s="1"/>
      <c r="AL10" s="8"/>
      <c r="AM10" s="11"/>
      <c r="AN10" s="1"/>
      <c r="AO10" s="1"/>
      <c r="AP10" s="1"/>
      <c r="AQ10" s="1"/>
      <c r="AR10" s="1"/>
      <c r="AS10" s="1" t="s">
        <v>29</v>
      </c>
      <c r="AT10" s="1" t="s">
        <v>29</v>
      </c>
      <c r="AU10" s="1" t="s">
        <v>29</v>
      </c>
      <c r="AV10" s="8" t="s">
        <v>29</v>
      </c>
      <c r="AW10" s="11" t="s">
        <v>29</v>
      </c>
      <c r="AX10" s="1"/>
      <c r="AY10" s="5" t="s">
        <v>29</v>
      </c>
      <c r="AZ10" s="1"/>
      <c r="BA10" s="1"/>
      <c r="BB10" s="1"/>
      <c r="BC10" s="1"/>
      <c r="BD10" s="1"/>
      <c r="BE10" s="1"/>
      <c r="BF10" s="8"/>
      <c r="BG10" s="11"/>
      <c r="BH10" s="1"/>
      <c r="BI10" s="1"/>
      <c r="BJ10" s="1"/>
      <c r="BK10" s="1"/>
      <c r="BL10" s="1"/>
      <c r="BM10" s="1"/>
      <c r="BN10" s="1"/>
      <c r="BO10" s="1"/>
      <c r="BP10" s="8"/>
      <c r="BQ10" s="11"/>
      <c r="BR10" s="1"/>
      <c r="BS10" s="1"/>
      <c r="BT10" s="1"/>
      <c r="BU10" s="1"/>
      <c r="BV10" s="1"/>
      <c r="BW10" s="1"/>
      <c r="BX10" s="1"/>
      <c r="BY10" s="1"/>
      <c r="BZ10" s="8"/>
      <c r="CA10" s="11"/>
      <c r="CB10" s="1"/>
      <c r="CC10" s="1"/>
      <c r="CD10" s="1"/>
      <c r="CE10" s="1"/>
      <c r="CF10" s="1"/>
      <c r="CG10" s="1"/>
      <c r="CH10" s="1"/>
      <c r="CI10" s="1"/>
      <c r="CJ10" s="8"/>
    </row>
    <row r="11" spans="1:88" x14ac:dyDescent="0.3">
      <c r="A11" s="60"/>
      <c r="B11" s="38" t="s">
        <v>55</v>
      </c>
      <c r="C11" s="41" t="s">
        <v>76</v>
      </c>
      <c r="D11" s="34">
        <v>12</v>
      </c>
      <c r="E11" s="34">
        <f t="shared" si="0"/>
        <v>0</v>
      </c>
      <c r="F11" s="14">
        <f t="shared" si="1"/>
        <v>12</v>
      </c>
      <c r="G11" s="28">
        <v>3</v>
      </c>
      <c r="H11" s="65" t="s">
        <v>11</v>
      </c>
      <c r="I11" s="1"/>
      <c r="J11" s="1"/>
      <c r="K11" s="1"/>
      <c r="L11" s="1"/>
      <c r="M11" s="1"/>
      <c r="N11" s="1"/>
      <c r="O11" s="1"/>
      <c r="P11" s="1"/>
      <c r="Q11" s="1"/>
      <c r="R11" s="8"/>
      <c r="S11" s="11"/>
      <c r="T11" s="1"/>
      <c r="U11" s="1"/>
      <c r="V11" s="1"/>
      <c r="W11" s="1"/>
      <c r="X11" s="1"/>
      <c r="Y11" s="1"/>
      <c r="Z11" s="1"/>
      <c r="AA11" s="1"/>
      <c r="AB11" s="8"/>
      <c r="AC11" s="11"/>
      <c r="AD11" s="1"/>
      <c r="AE11" s="1"/>
      <c r="AF11" s="1"/>
      <c r="AG11" s="1"/>
      <c r="AH11" s="1"/>
      <c r="AI11" s="1"/>
      <c r="AJ11" s="1"/>
      <c r="AK11" s="1"/>
      <c r="AL11" s="8"/>
      <c r="AM11" s="11"/>
      <c r="AN11" s="1"/>
      <c r="AO11" s="1"/>
      <c r="AP11" s="1"/>
      <c r="AQ11" s="1"/>
      <c r="AR11" s="1"/>
      <c r="AS11" s="1"/>
      <c r="AT11" s="1"/>
      <c r="AU11" s="1"/>
      <c r="AV11" s="8"/>
      <c r="AW11" s="11"/>
      <c r="AX11" s="1"/>
      <c r="AY11" s="1"/>
      <c r="AZ11" s="1" t="s">
        <v>29</v>
      </c>
      <c r="BA11" s="1" t="s">
        <v>29</v>
      </c>
      <c r="BB11" s="1" t="s">
        <v>29</v>
      </c>
      <c r="BC11" s="1"/>
      <c r="BD11" s="1"/>
      <c r="BE11" s="1"/>
      <c r="BF11" s="8"/>
      <c r="BG11" s="11"/>
      <c r="BH11" s="1"/>
      <c r="BI11" s="1"/>
      <c r="BJ11" s="1"/>
      <c r="BK11" s="1"/>
      <c r="BL11" s="1"/>
      <c r="BM11" s="1"/>
      <c r="BN11" s="1"/>
      <c r="BO11" s="1"/>
      <c r="BP11" s="8"/>
      <c r="BQ11" s="11"/>
      <c r="BR11" s="1"/>
      <c r="BS11" s="1"/>
      <c r="BT11" s="1"/>
      <c r="BU11" s="1"/>
      <c r="BV11" s="1"/>
      <c r="BW11" s="1"/>
      <c r="BX11" s="1"/>
      <c r="BY11" s="1"/>
      <c r="BZ11" s="8"/>
      <c r="CA11" s="11"/>
      <c r="CB11" s="1"/>
      <c r="CC11" s="1"/>
      <c r="CD11" s="1"/>
      <c r="CE11" s="1"/>
      <c r="CF11" s="1"/>
      <c r="CG11" s="1"/>
      <c r="CH11" s="1"/>
      <c r="CI11" s="1"/>
      <c r="CJ11" s="8"/>
    </row>
    <row r="12" spans="1:88" x14ac:dyDescent="0.3">
      <c r="A12" s="60"/>
      <c r="B12" s="38" t="s">
        <v>56</v>
      </c>
      <c r="C12" s="41" t="s">
        <v>77</v>
      </c>
      <c r="D12" s="34">
        <v>12</v>
      </c>
      <c r="E12" s="34">
        <f t="shared" si="0"/>
        <v>0</v>
      </c>
      <c r="F12" s="14">
        <f t="shared" si="1"/>
        <v>12</v>
      </c>
      <c r="G12" s="28">
        <v>3</v>
      </c>
      <c r="H12" s="65" t="s">
        <v>11</v>
      </c>
      <c r="I12" s="1"/>
      <c r="J12" s="1"/>
      <c r="K12" s="1"/>
      <c r="L12" s="1"/>
      <c r="M12" s="1"/>
      <c r="N12" s="1"/>
      <c r="O12" s="1"/>
      <c r="P12" s="1"/>
      <c r="Q12" s="1"/>
      <c r="R12" s="8"/>
      <c r="S12" s="11"/>
      <c r="T12" s="1"/>
      <c r="U12" s="1"/>
      <c r="V12" s="1"/>
      <c r="W12" s="1"/>
      <c r="X12" s="1"/>
      <c r="Y12" s="1"/>
      <c r="Z12" s="1"/>
      <c r="AA12" s="1"/>
      <c r="AB12" s="8"/>
      <c r="AC12" s="11"/>
      <c r="AD12" s="1"/>
      <c r="AE12" s="1"/>
      <c r="AF12" s="1"/>
      <c r="AG12" s="1"/>
      <c r="AH12" s="1"/>
      <c r="AI12" s="1"/>
      <c r="AJ12" s="1"/>
      <c r="AK12" s="1"/>
      <c r="AL12" s="8"/>
      <c r="AM12" s="11"/>
      <c r="AN12" s="1"/>
      <c r="AO12" s="1"/>
      <c r="AP12" s="1"/>
      <c r="AQ12" s="1"/>
      <c r="AR12" s="1"/>
      <c r="AS12" s="1"/>
      <c r="AT12" s="1"/>
      <c r="AU12" s="1"/>
      <c r="AV12" s="8"/>
      <c r="AW12" s="11"/>
      <c r="AX12" s="1"/>
      <c r="AY12" s="1"/>
      <c r="AZ12" s="1"/>
      <c r="BA12" s="1"/>
      <c r="BB12" s="1"/>
      <c r="BC12" s="1" t="s">
        <v>29</v>
      </c>
      <c r="BD12" s="1" t="s">
        <v>29</v>
      </c>
      <c r="BE12" s="1" t="s">
        <v>29</v>
      </c>
      <c r="BF12" s="8"/>
      <c r="BG12" s="11"/>
      <c r="BH12" s="1"/>
      <c r="BI12" s="1"/>
      <c r="BJ12" s="1"/>
      <c r="BK12" s="1"/>
      <c r="BL12" s="1"/>
      <c r="BM12" s="1"/>
      <c r="BN12" s="1"/>
      <c r="BO12" s="1"/>
      <c r="BP12" s="8"/>
      <c r="BQ12" s="11"/>
      <c r="BR12" s="1"/>
      <c r="BS12" s="1"/>
      <c r="BT12" s="1"/>
      <c r="BU12" s="1"/>
      <c r="BV12" s="1"/>
      <c r="BW12" s="1"/>
      <c r="BX12" s="1"/>
      <c r="BY12" s="1"/>
      <c r="BZ12" s="8"/>
      <c r="CA12" s="11"/>
      <c r="CB12" s="1"/>
      <c r="CC12" s="1"/>
      <c r="CD12" s="1"/>
      <c r="CE12" s="1"/>
      <c r="CF12" s="1"/>
      <c r="CG12" s="1"/>
      <c r="CH12" s="1"/>
      <c r="CI12" s="1"/>
      <c r="CJ12" s="8"/>
    </row>
    <row r="13" spans="1:88" x14ac:dyDescent="0.3">
      <c r="A13" s="60"/>
      <c r="B13" s="38" t="s">
        <v>57</v>
      </c>
      <c r="C13" s="41" t="s">
        <v>80</v>
      </c>
      <c r="D13" s="35">
        <v>12</v>
      </c>
      <c r="E13" s="34">
        <f t="shared" si="0"/>
        <v>0</v>
      </c>
      <c r="F13" s="14">
        <f t="shared" si="1"/>
        <v>12</v>
      </c>
      <c r="G13" s="37">
        <v>3</v>
      </c>
      <c r="H13" s="66" t="s">
        <v>11</v>
      </c>
      <c r="I13" s="1"/>
      <c r="J13" s="1"/>
      <c r="K13" s="1"/>
      <c r="L13" s="1"/>
      <c r="M13" s="1"/>
      <c r="N13" s="1"/>
      <c r="O13" s="1"/>
      <c r="P13" s="1"/>
      <c r="Q13" s="1"/>
      <c r="R13" s="8"/>
      <c r="S13" s="11"/>
      <c r="T13" s="1"/>
      <c r="U13" s="1"/>
      <c r="V13" s="1"/>
      <c r="W13" s="1"/>
      <c r="X13" s="1"/>
      <c r="Y13" s="1"/>
      <c r="Z13" s="1"/>
      <c r="AA13" s="1"/>
      <c r="AB13" s="8"/>
      <c r="AC13" s="11"/>
      <c r="AD13" s="1"/>
      <c r="AE13" s="1"/>
      <c r="AF13" s="1"/>
      <c r="AG13" s="1"/>
      <c r="AH13" s="1"/>
      <c r="AI13" s="1"/>
      <c r="AJ13" s="1"/>
      <c r="AK13" s="1"/>
      <c r="AL13" s="8"/>
      <c r="AM13" s="11"/>
      <c r="AN13" s="1"/>
      <c r="AO13" s="1"/>
      <c r="AP13" s="1"/>
      <c r="AQ13" s="1"/>
      <c r="AR13" s="1"/>
      <c r="AS13" s="1"/>
      <c r="AT13" s="1"/>
      <c r="AU13" s="1"/>
      <c r="AV13" s="8"/>
      <c r="AW13" s="11"/>
      <c r="AX13" s="1"/>
      <c r="AY13" s="1"/>
      <c r="AZ13" s="1"/>
      <c r="BA13" s="1"/>
      <c r="BB13" s="1"/>
      <c r="BC13" s="1"/>
      <c r="BD13" s="1"/>
      <c r="BE13" s="1"/>
      <c r="BF13" s="8" t="s">
        <v>29</v>
      </c>
      <c r="BG13" s="11" t="s">
        <v>29</v>
      </c>
      <c r="BH13" s="1"/>
      <c r="BI13" s="1" t="s">
        <v>29</v>
      </c>
      <c r="BJ13" s="1"/>
      <c r="BK13" s="1"/>
      <c r="BL13" s="1"/>
      <c r="BM13" s="1"/>
      <c r="BN13" s="1"/>
      <c r="BO13" s="1"/>
      <c r="BP13" s="8"/>
      <c r="BQ13" s="11"/>
      <c r="BR13" s="1"/>
      <c r="BS13" s="1"/>
      <c r="BT13" s="1"/>
      <c r="BU13" s="1"/>
      <c r="BV13" s="1"/>
      <c r="BW13" s="1"/>
      <c r="BX13" s="1"/>
      <c r="BY13" s="1"/>
      <c r="BZ13" s="8"/>
      <c r="CA13" s="11"/>
      <c r="CB13" s="1"/>
      <c r="CC13" s="1"/>
      <c r="CD13" s="1"/>
      <c r="CE13" s="1"/>
      <c r="CF13" s="1"/>
      <c r="CG13" s="1"/>
      <c r="CH13" s="1"/>
      <c r="CI13" s="1"/>
      <c r="CJ13" s="8"/>
    </row>
    <row r="14" spans="1:88" x14ac:dyDescent="0.3">
      <c r="A14" s="60"/>
      <c r="B14" s="38" t="s">
        <v>58</v>
      </c>
      <c r="C14" s="41" t="s">
        <v>81</v>
      </c>
      <c r="D14" s="35">
        <v>12</v>
      </c>
      <c r="E14" s="34">
        <f t="shared" si="0"/>
        <v>0</v>
      </c>
      <c r="F14" s="14">
        <f t="shared" si="1"/>
        <v>12</v>
      </c>
      <c r="G14" s="37">
        <v>3</v>
      </c>
      <c r="H14" s="66" t="s">
        <v>11</v>
      </c>
      <c r="I14" s="1"/>
      <c r="J14" s="1"/>
      <c r="K14" s="1"/>
      <c r="L14" s="1"/>
      <c r="M14" s="1"/>
      <c r="N14" s="1"/>
      <c r="O14" s="1"/>
      <c r="P14" s="1"/>
      <c r="Q14" s="1"/>
      <c r="R14" s="8"/>
      <c r="S14" s="11"/>
      <c r="T14" s="1"/>
      <c r="U14" s="1"/>
      <c r="V14" s="1"/>
      <c r="W14" s="1"/>
      <c r="X14" s="1"/>
      <c r="Y14" s="1"/>
      <c r="Z14" s="1"/>
      <c r="AA14" s="1"/>
      <c r="AB14" s="8"/>
      <c r="AC14" s="11"/>
      <c r="AD14" s="1"/>
      <c r="AE14" s="1"/>
      <c r="AF14" s="1"/>
      <c r="AG14" s="1"/>
      <c r="AH14" s="1"/>
      <c r="AI14" s="1"/>
      <c r="AJ14" s="1"/>
      <c r="AK14" s="1"/>
      <c r="AL14" s="8"/>
      <c r="AM14" s="11"/>
      <c r="AN14" s="1"/>
      <c r="AO14" s="1"/>
      <c r="AP14" s="1"/>
      <c r="AQ14" s="1"/>
      <c r="AR14" s="1"/>
      <c r="AS14" s="1"/>
      <c r="AT14" s="1"/>
      <c r="AU14" s="1"/>
      <c r="AV14" s="8"/>
      <c r="AW14" s="11"/>
      <c r="AX14" s="1"/>
      <c r="AY14" s="1"/>
      <c r="AZ14" s="1"/>
      <c r="BA14" s="1"/>
      <c r="BB14" s="1"/>
      <c r="BC14" s="1"/>
      <c r="BD14" s="1"/>
      <c r="BE14" s="1"/>
      <c r="BF14" s="8"/>
      <c r="BG14" s="11"/>
      <c r="BH14" s="1"/>
      <c r="BI14" s="1"/>
      <c r="BJ14" s="1" t="s">
        <v>29</v>
      </c>
      <c r="BK14" s="1" t="s">
        <v>29</v>
      </c>
      <c r="BL14" s="1" t="s">
        <v>29</v>
      </c>
      <c r="BM14" s="1"/>
      <c r="BN14" s="1"/>
      <c r="BO14" s="1"/>
      <c r="BP14" s="8"/>
      <c r="BQ14" s="11"/>
      <c r="BR14" s="1"/>
      <c r="BS14" s="1"/>
      <c r="BT14" s="1"/>
      <c r="BU14" s="1"/>
      <c r="BV14" s="1"/>
      <c r="BW14" s="1"/>
      <c r="BX14" s="1"/>
      <c r="BY14" s="1"/>
      <c r="BZ14" s="8"/>
      <c r="CA14" s="11"/>
      <c r="CB14" s="1"/>
      <c r="CC14" s="1"/>
      <c r="CD14" s="1"/>
      <c r="CE14" s="1"/>
      <c r="CF14" s="1"/>
      <c r="CG14" s="1"/>
      <c r="CH14" s="1"/>
      <c r="CI14" s="1"/>
      <c r="CJ14" s="8"/>
    </row>
    <row r="15" spans="1:88" x14ac:dyDescent="0.3">
      <c r="A15" s="60"/>
      <c r="B15" s="41" t="s">
        <v>84</v>
      </c>
      <c r="C15" s="41" t="s">
        <v>85</v>
      </c>
      <c r="D15" s="35">
        <v>16</v>
      </c>
      <c r="E15" s="34">
        <f t="shared" si="0"/>
        <v>0</v>
      </c>
      <c r="F15" s="14">
        <f t="shared" si="1"/>
        <v>16</v>
      </c>
      <c r="G15" s="28">
        <v>3</v>
      </c>
      <c r="H15" s="67" t="s">
        <v>11</v>
      </c>
      <c r="I15" s="1"/>
      <c r="J15" s="1"/>
      <c r="K15" s="1"/>
      <c r="L15" s="1"/>
      <c r="M15" s="1"/>
      <c r="N15" s="1"/>
      <c r="O15" s="1"/>
      <c r="P15" s="1"/>
      <c r="Q15" s="1"/>
      <c r="R15" s="8"/>
      <c r="S15" s="11"/>
      <c r="T15" s="1"/>
      <c r="U15" s="1"/>
      <c r="V15" s="1"/>
      <c r="W15" s="1"/>
      <c r="X15" s="1"/>
      <c r="Y15" s="1"/>
      <c r="Z15" s="1"/>
      <c r="AA15" s="1"/>
      <c r="AB15" s="8"/>
      <c r="AC15" s="11"/>
      <c r="AD15" s="1"/>
      <c r="AE15" s="1"/>
      <c r="AF15" s="1"/>
      <c r="AG15" s="1"/>
      <c r="AH15" s="1"/>
      <c r="AI15" s="1"/>
      <c r="AJ15" s="1"/>
      <c r="AK15" s="1"/>
      <c r="AL15" s="8"/>
      <c r="AM15" s="11"/>
      <c r="AN15" s="1"/>
      <c r="AO15" s="1"/>
      <c r="AP15" s="1"/>
      <c r="AQ15" s="1"/>
      <c r="AR15" s="1"/>
      <c r="AS15" s="1"/>
      <c r="AT15" s="1"/>
      <c r="AU15" s="1"/>
      <c r="AV15" s="8"/>
      <c r="AW15" s="11"/>
      <c r="AX15" s="1"/>
      <c r="AY15" s="1"/>
      <c r="AZ15" s="1"/>
      <c r="BA15" s="1"/>
      <c r="BB15" s="1"/>
      <c r="BC15" s="1"/>
      <c r="BD15" s="1"/>
      <c r="BE15" s="1"/>
      <c r="BF15" s="8"/>
      <c r="BG15" s="11"/>
      <c r="BH15" s="1"/>
      <c r="BI15" s="1"/>
      <c r="BJ15" s="1"/>
      <c r="BK15" s="1"/>
      <c r="BL15" s="1"/>
      <c r="BM15" s="1" t="s">
        <v>29</v>
      </c>
      <c r="BN15" s="1" t="s">
        <v>29</v>
      </c>
      <c r="BO15" s="1" t="s">
        <v>29</v>
      </c>
      <c r="BP15" s="8" t="s">
        <v>29</v>
      </c>
      <c r="BQ15" s="11"/>
      <c r="BR15" s="1"/>
      <c r="BS15" s="1"/>
      <c r="BT15" s="1"/>
      <c r="BU15" s="1"/>
      <c r="BV15" s="1"/>
      <c r="BW15" s="1"/>
      <c r="BX15" s="1"/>
      <c r="BY15" s="1"/>
      <c r="BZ15" s="8"/>
      <c r="CA15" s="11"/>
      <c r="CB15" s="1"/>
      <c r="CC15" s="1"/>
      <c r="CD15" s="1"/>
      <c r="CE15" s="1"/>
      <c r="CF15" s="1"/>
      <c r="CG15" s="1"/>
      <c r="CH15" s="1"/>
      <c r="CI15" s="1"/>
      <c r="CJ15" s="8"/>
    </row>
    <row r="16" spans="1:88" x14ac:dyDescent="0.3">
      <c r="A16" s="60"/>
      <c r="B16" s="38" t="s">
        <v>86</v>
      </c>
      <c r="C16" s="41" t="s">
        <v>88</v>
      </c>
      <c r="D16" s="38">
        <v>12</v>
      </c>
      <c r="E16" s="34">
        <f t="shared" si="0"/>
        <v>0</v>
      </c>
      <c r="F16" s="14">
        <f t="shared" si="1"/>
        <v>12</v>
      </c>
      <c r="G16" s="28">
        <v>3</v>
      </c>
      <c r="H16" s="67" t="s">
        <v>11</v>
      </c>
      <c r="I16" s="1"/>
      <c r="J16" s="1"/>
      <c r="K16" s="1"/>
      <c r="L16" s="1"/>
      <c r="M16" s="1"/>
      <c r="N16" s="1"/>
      <c r="O16" s="1"/>
      <c r="P16" s="1"/>
      <c r="Q16" s="1"/>
      <c r="R16" s="8"/>
      <c r="S16" s="11"/>
      <c r="T16" s="1"/>
      <c r="U16" s="1"/>
      <c r="V16" s="1"/>
      <c r="W16" s="1"/>
      <c r="X16" s="1"/>
      <c r="Y16" s="1"/>
      <c r="Z16" s="1"/>
      <c r="AA16" s="1"/>
      <c r="AB16" s="8"/>
      <c r="AC16" s="11"/>
      <c r="AD16" s="1"/>
      <c r="AE16" s="1"/>
      <c r="AF16" s="1"/>
      <c r="AG16" s="1"/>
      <c r="AH16" s="1"/>
      <c r="AI16" s="1"/>
      <c r="AJ16" s="1"/>
      <c r="AK16" s="1"/>
      <c r="AL16" s="8"/>
      <c r="AM16" s="11"/>
      <c r="AN16" s="1"/>
      <c r="AO16" s="1"/>
      <c r="AP16" s="1"/>
      <c r="AQ16" s="1"/>
      <c r="AR16" s="1"/>
      <c r="AS16" s="1"/>
      <c r="AT16" s="1"/>
      <c r="AU16" s="1"/>
      <c r="AV16" s="8"/>
      <c r="AW16" s="11"/>
      <c r="AX16" s="1"/>
      <c r="AY16" s="1"/>
      <c r="AZ16" s="1"/>
      <c r="BA16" s="1"/>
      <c r="BB16" s="1"/>
      <c r="BC16" s="1"/>
      <c r="BD16" s="1"/>
      <c r="BE16" s="1"/>
      <c r="BF16" s="8"/>
      <c r="BG16" s="11"/>
      <c r="BH16" s="1"/>
      <c r="BI16" s="1"/>
      <c r="BJ16" s="1"/>
      <c r="BK16" s="1"/>
      <c r="BL16" s="1"/>
      <c r="BM16" s="1"/>
      <c r="BN16" s="1"/>
      <c r="BO16" s="1"/>
      <c r="BP16" s="8"/>
      <c r="BQ16" s="11" t="s">
        <v>29</v>
      </c>
      <c r="BR16" s="1"/>
      <c r="BS16" s="1" t="s">
        <v>29</v>
      </c>
      <c r="BT16" s="1" t="s">
        <v>29</v>
      </c>
      <c r="BU16" s="1"/>
      <c r="BV16" s="1"/>
      <c r="BW16" s="1"/>
      <c r="BX16" s="1"/>
      <c r="BY16" s="1"/>
      <c r="BZ16" s="8"/>
      <c r="CA16" s="11"/>
      <c r="CB16" s="1"/>
      <c r="CC16" s="1"/>
      <c r="CD16" s="1"/>
      <c r="CE16" s="1"/>
      <c r="CF16" s="1"/>
      <c r="CG16" s="1"/>
      <c r="CH16" s="1"/>
      <c r="CI16" s="1"/>
      <c r="CJ16" s="8"/>
    </row>
    <row r="17" spans="1:88" x14ac:dyDescent="0.3">
      <c r="A17" s="60"/>
      <c r="B17" s="38" t="s">
        <v>87</v>
      </c>
      <c r="C17" s="41" t="s">
        <v>89</v>
      </c>
      <c r="D17" s="38">
        <v>12</v>
      </c>
      <c r="E17" s="34">
        <f t="shared" si="0"/>
        <v>0</v>
      </c>
      <c r="F17" s="14">
        <f t="shared" si="1"/>
        <v>12</v>
      </c>
      <c r="G17" s="28">
        <v>3</v>
      </c>
      <c r="H17" s="67" t="s">
        <v>11</v>
      </c>
      <c r="I17" s="1"/>
      <c r="J17" s="1"/>
      <c r="K17" s="1"/>
      <c r="L17" s="1"/>
      <c r="M17" s="1"/>
      <c r="N17" s="1"/>
      <c r="O17" s="1"/>
      <c r="P17" s="1"/>
      <c r="Q17" s="1"/>
      <c r="R17" s="8"/>
      <c r="S17" s="11"/>
      <c r="T17" s="1"/>
      <c r="U17" s="1"/>
      <c r="V17" s="1"/>
      <c r="W17" s="1"/>
      <c r="X17" s="1"/>
      <c r="Y17" s="1"/>
      <c r="Z17" s="1"/>
      <c r="AA17" s="1"/>
      <c r="AB17" s="8"/>
      <c r="AC17" s="11"/>
      <c r="AD17" s="1"/>
      <c r="AE17" s="1"/>
      <c r="AF17" s="1"/>
      <c r="AG17" s="1"/>
      <c r="AH17" s="1"/>
      <c r="AI17" s="1"/>
      <c r="AJ17" s="1"/>
      <c r="AK17" s="1"/>
      <c r="AL17" s="8"/>
      <c r="AM17" s="11"/>
      <c r="AN17" s="1"/>
      <c r="AO17" s="1"/>
      <c r="AP17" s="1"/>
      <c r="AQ17" s="1"/>
      <c r="AR17" s="1"/>
      <c r="AS17" s="1"/>
      <c r="AT17" s="1"/>
      <c r="AU17" s="1"/>
      <c r="AV17" s="8"/>
      <c r="AW17" s="11"/>
      <c r="AX17" s="1"/>
      <c r="AY17" s="1"/>
      <c r="AZ17" s="1"/>
      <c r="BA17" s="1"/>
      <c r="BB17" s="1"/>
      <c r="BC17" s="1"/>
      <c r="BD17" s="1"/>
      <c r="BE17" s="1"/>
      <c r="BF17" s="8"/>
      <c r="BG17" s="11"/>
      <c r="BH17" s="1"/>
      <c r="BI17" s="1"/>
      <c r="BJ17" s="1"/>
      <c r="BK17" s="1"/>
      <c r="BL17" s="1"/>
      <c r="BM17" s="1"/>
      <c r="BN17" s="1"/>
      <c r="BO17" s="1"/>
      <c r="BP17" s="8"/>
      <c r="BQ17" s="11"/>
      <c r="BR17" s="1"/>
      <c r="BS17" s="1"/>
      <c r="BT17" s="1"/>
      <c r="BU17" s="1" t="s">
        <v>29</v>
      </c>
      <c r="BV17" s="1" t="s">
        <v>29</v>
      </c>
      <c r="BW17" s="1" t="s">
        <v>29</v>
      </c>
      <c r="BX17" s="1"/>
      <c r="BY17" s="1"/>
      <c r="BZ17" s="8"/>
      <c r="CA17" s="11"/>
      <c r="CB17" s="1"/>
      <c r="CC17" s="1"/>
      <c r="CD17" s="1"/>
      <c r="CE17" s="1"/>
      <c r="CF17" s="1"/>
      <c r="CG17" s="1"/>
      <c r="CH17" s="1"/>
      <c r="CI17" s="1"/>
      <c r="CJ17" s="8"/>
    </row>
    <row r="18" spans="1:88" x14ac:dyDescent="0.3">
      <c r="A18" s="62"/>
      <c r="B18" s="36" t="s">
        <v>92</v>
      </c>
      <c r="C18" s="42" t="s">
        <v>90</v>
      </c>
      <c r="D18" s="36">
        <v>24</v>
      </c>
      <c r="E18" s="43">
        <f t="shared" si="0"/>
        <v>0</v>
      </c>
      <c r="F18" s="15">
        <f t="shared" si="1"/>
        <v>12</v>
      </c>
      <c r="G18" s="39">
        <v>3</v>
      </c>
      <c r="H18" s="68" t="s">
        <v>11</v>
      </c>
      <c r="I18" s="2"/>
      <c r="J18" s="2"/>
      <c r="K18" s="2"/>
      <c r="L18" s="2"/>
      <c r="M18" s="2"/>
      <c r="N18" s="2"/>
      <c r="O18" s="2"/>
      <c r="P18" s="2"/>
      <c r="Q18" s="2"/>
      <c r="R18" s="13"/>
      <c r="S18" s="12"/>
      <c r="T18" s="2"/>
      <c r="U18" s="2"/>
      <c r="V18" s="2"/>
      <c r="W18" s="2"/>
      <c r="X18" s="2"/>
      <c r="Y18" s="2"/>
      <c r="Z18" s="2"/>
      <c r="AA18" s="2"/>
      <c r="AB18" s="13"/>
      <c r="AC18" s="12"/>
      <c r="AD18" s="2"/>
      <c r="AE18" s="2"/>
      <c r="AF18" s="2"/>
      <c r="AG18" s="2"/>
      <c r="AH18" s="2"/>
      <c r="AI18" s="2"/>
      <c r="AJ18" s="2"/>
      <c r="AK18" s="2"/>
      <c r="AL18" s="13"/>
      <c r="AM18" s="12"/>
      <c r="AN18" s="2"/>
      <c r="AO18" s="2"/>
      <c r="AP18" s="2"/>
      <c r="AQ18" s="2"/>
      <c r="AR18" s="2"/>
      <c r="AS18" s="2"/>
      <c r="AT18" s="2"/>
      <c r="AU18" s="2"/>
      <c r="AV18" s="13"/>
      <c r="AW18" s="12"/>
      <c r="AX18" s="2"/>
      <c r="AY18" s="2"/>
      <c r="AZ18" s="2"/>
      <c r="BA18" s="2"/>
      <c r="BB18" s="2"/>
      <c r="BC18" s="2"/>
      <c r="BD18" s="2"/>
      <c r="BE18" s="2"/>
      <c r="BF18" s="13"/>
      <c r="BG18" s="12"/>
      <c r="BH18" s="2"/>
      <c r="BI18" s="2"/>
      <c r="BJ18" s="2"/>
      <c r="BK18" s="2"/>
      <c r="BL18" s="2"/>
      <c r="BM18" s="2"/>
      <c r="BN18" s="2"/>
      <c r="BO18" s="2"/>
      <c r="BP18" s="13"/>
      <c r="BQ18" s="12"/>
      <c r="BR18" s="2"/>
      <c r="BS18" s="2"/>
      <c r="BT18" s="2"/>
      <c r="BU18" s="2"/>
      <c r="BV18" s="2"/>
      <c r="BW18" s="2"/>
      <c r="BX18" s="2" t="s">
        <v>29</v>
      </c>
      <c r="BY18" s="2" t="s">
        <v>29</v>
      </c>
      <c r="BZ18" s="13" t="s">
        <v>29</v>
      </c>
      <c r="CA18" s="12"/>
      <c r="CB18" s="2"/>
      <c r="CC18" s="2"/>
      <c r="CD18" s="2"/>
      <c r="CE18" s="2"/>
      <c r="CF18" s="2"/>
      <c r="CG18" s="2"/>
      <c r="CH18" s="2"/>
      <c r="CI18" s="2"/>
      <c r="CJ18" s="13"/>
    </row>
    <row r="19" spans="1:88" x14ac:dyDescent="0.3">
      <c r="A19" s="63" t="s">
        <v>33</v>
      </c>
      <c r="B19" s="25" t="s">
        <v>13</v>
      </c>
      <c r="C19" s="44" t="s">
        <v>70</v>
      </c>
      <c r="D19" s="17">
        <v>16</v>
      </c>
      <c r="E19" s="26">
        <f>(COUNTIF($I19:$BT19,"x")*2)</f>
        <v>0</v>
      </c>
      <c r="F19" s="16">
        <f t="shared" si="1"/>
        <v>16</v>
      </c>
      <c r="G19" s="30">
        <v>4</v>
      </c>
      <c r="H19" s="69" t="s">
        <v>18</v>
      </c>
      <c r="I19" s="3"/>
      <c r="J19" s="3"/>
      <c r="K19" s="3"/>
      <c r="L19" s="3"/>
      <c r="M19" s="3"/>
      <c r="N19" s="3"/>
      <c r="O19" s="3"/>
      <c r="P19" s="3"/>
      <c r="Q19" s="3"/>
      <c r="R19" s="10"/>
      <c r="S19" s="9"/>
      <c r="T19" s="3"/>
      <c r="U19" s="3"/>
      <c r="V19" s="3"/>
      <c r="W19" s="3"/>
      <c r="X19" s="3"/>
      <c r="Y19" s="3"/>
      <c r="Z19" s="3"/>
      <c r="AA19" s="3"/>
      <c r="AB19" s="10"/>
      <c r="AC19" s="9"/>
      <c r="AD19" s="3"/>
      <c r="AE19" s="3"/>
      <c r="AF19" s="3"/>
      <c r="AG19" s="3"/>
      <c r="AH19" s="3"/>
      <c r="AI19" s="3"/>
      <c r="AJ19" s="3"/>
      <c r="AK19" s="3"/>
      <c r="AL19" s="10"/>
      <c r="AM19" s="9"/>
      <c r="AN19" s="3"/>
      <c r="AO19" s="3"/>
      <c r="AP19" s="3"/>
      <c r="AQ19" s="3"/>
      <c r="AR19" s="3"/>
      <c r="AS19" s="3"/>
      <c r="AT19" s="3"/>
      <c r="AU19" s="3"/>
      <c r="AV19" s="10"/>
      <c r="AW19" s="9"/>
      <c r="AX19" s="3"/>
      <c r="AY19" s="3"/>
      <c r="AZ19" s="3"/>
      <c r="BA19" s="3"/>
      <c r="BB19" s="3"/>
      <c r="BC19" s="3"/>
      <c r="BD19" s="3"/>
      <c r="BE19" s="3"/>
      <c r="BF19" s="10"/>
      <c r="BG19" s="9"/>
      <c r="BH19" s="3"/>
      <c r="BI19" s="3"/>
      <c r="BJ19" s="3"/>
      <c r="BK19" s="3"/>
      <c r="BL19" s="3"/>
      <c r="BM19" s="3"/>
      <c r="BN19" s="3"/>
      <c r="BO19" s="3"/>
      <c r="BP19" s="10"/>
      <c r="BQ19" s="9"/>
      <c r="BR19" s="3"/>
      <c r="BS19" s="3"/>
      <c r="BT19" s="3"/>
      <c r="BU19" s="3"/>
      <c r="BV19" s="3"/>
      <c r="BW19" s="3"/>
      <c r="BX19" s="3"/>
      <c r="BY19" s="3"/>
      <c r="BZ19" s="10"/>
      <c r="CA19" s="9" t="s">
        <v>29</v>
      </c>
      <c r="CB19" s="3"/>
      <c r="CC19" s="3" t="s">
        <v>29</v>
      </c>
      <c r="CD19" s="3" t="s">
        <v>29</v>
      </c>
      <c r="CE19" s="3" t="s">
        <v>29</v>
      </c>
      <c r="CF19" s="3"/>
      <c r="CG19" s="3"/>
      <c r="CH19" s="3"/>
      <c r="CI19" s="3"/>
      <c r="CJ19" s="10"/>
    </row>
    <row r="20" spans="1:88" x14ac:dyDescent="0.3">
      <c r="A20" s="60"/>
      <c r="B20" s="25" t="s">
        <v>14</v>
      </c>
      <c r="C20" s="32" t="s">
        <v>91</v>
      </c>
      <c r="D20" s="14">
        <v>12</v>
      </c>
      <c r="E20" s="23">
        <f>(COUNTIF($I20:$BT20,"x")*2)</f>
        <v>0</v>
      </c>
      <c r="F20" s="14">
        <f t="shared" si="1"/>
        <v>12</v>
      </c>
      <c r="G20" s="27">
        <v>4</v>
      </c>
      <c r="H20" s="61" t="s">
        <v>74</v>
      </c>
      <c r="I20" s="2"/>
      <c r="J20" s="2"/>
      <c r="K20" s="2"/>
      <c r="L20" s="2"/>
      <c r="M20" s="2"/>
      <c r="N20" s="2"/>
      <c r="O20" s="2"/>
      <c r="P20" s="2"/>
      <c r="Q20" s="2"/>
      <c r="R20" s="13"/>
      <c r="S20" s="12"/>
      <c r="T20" s="2"/>
      <c r="U20" s="2"/>
      <c r="V20" s="2"/>
      <c r="W20" s="2"/>
      <c r="X20" s="2"/>
      <c r="Y20" s="2"/>
      <c r="Z20" s="2"/>
      <c r="AA20" s="2"/>
      <c r="AB20" s="13"/>
      <c r="AC20" s="12"/>
      <c r="AD20" s="2"/>
      <c r="AE20" s="2"/>
      <c r="AF20" s="2"/>
      <c r="AG20" s="2"/>
      <c r="AH20" s="2"/>
      <c r="AI20" s="2"/>
      <c r="AJ20" s="2"/>
      <c r="AK20" s="2"/>
      <c r="AL20" s="13"/>
      <c r="AM20" s="12"/>
      <c r="AN20" s="2"/>
      <c r="AO20" s="2"/>
      <c r="AP20" s="2"/>
      <c r="AQ20" s="2"/>
      <c r="AR20" s="2"/>
      <c r="AS20" s="2"/>
      <c r="AT20" s="2"/>
      <c r="AU20" s="2"/>
      <c r="AV20" s="13"/>
      <c r="AW20" s="12"/>
      <c r="AX20" s="2"/>
      <c r="AY20" s="2"/>
      <c r="AZ20" s="2"/>
      <c r="BA20" s="2"/>
      <c r="BB20" s="2"/>
      <c r="BC20" s="2"/>
      <c r="BD20" s="2"/>
      <c r="BE20" s="2"/>
      <c r="BF20" s="13"/>
      <c r="BG20" s="12"/>
      <c r="BH20" s="2"/>
      <c r="BI20" s="2"/>
      <c r="BJ20" s="2"/>
      <c r="BK20" s="2"/>
      <c r="BL20" s="2"/>
      <c r="BM20" s="2"/>
      <c r="BN20" s="2"/>
      <c r="BO20" s="2"/>
      <c r="BP20" s="13"/>
      <c r="BQ20" s="12"/>
      <c r="BR20" s="2"/>
      <c r="BS20" s="2"/>
      <c r="BT20" s="2"/>
      <c r="BU20" s="2"/>
      <c r="BV20" s="2"/>
      <c r="BW20" s="2"/>
      <c r="BX20" s="2"/>
      <c r="BY20" s="2"/>
      <c r="BZ20" s="13"/>
      <c r="CA20" s="12"/>
      <c r="CB20" s="2"/>
      <c r="CC20" s="2"/>
      <c r="CD20" s="2"/>
      <c r="CE20" s="2"/>
      <c r="CF20" s="2" t="s">
        <v>29</v>
      </c>
      <c r="CG20" s="2" t="s">
        <v>29</v>
      </c>
      <c r="CH20" s="2" t="s">
        <v>29</v>
      </c>
      <c r="CI20" s="2"/>
      <c r="CJ20" s="13"/>
    </row>
    <row r="21" spans="1:88" x14ac:dyDescent="0.3">
      <c r="A21" s="70" t="s">
        <v>48</v>
      </c>
      <c r="B21" s="24" t="s">
        <v>15</v>
      </c>
      <c r="C21" s="40" t="s">
        <v>71</v>
      </c>
      <c r="D21" s="33">
        <v>8</v>
      </c>
      <c r="E21" s="33">
        <f>(COUNTIF($I21:$BT21,"x"))</f>
        <v>0</v>
      </c>
      <c r="F21" s="16">
        <f>(COUNTIF($I21:$CJ21,"p"))</f>
        <v>8</v>
      </c>
      <c r="G21" s="31">
        <v>5</v>
      </c>
      <c r="H21" s="64" t="s">
        <v>18</v>
      </c>
      <c r="I21" s="1"/>
      <c r="J21" s="1" t="s">
        <v>29</v>
      </c>
      <c r="K21" s="1"/>
      <c r="L21" s="1"/>
      <c r="M21" s="1"/>
      <c r="N21" s="1"/>
      <c r="O21" s="1"/>
      <c r="P21" s="1"/>
      <c r="Q21" s="1"/>
      <c r="R21" s="8"/>
      <c r="S21" s="11"/>
      <c r="T21" s="1" t="s">
        <v>29</v>
      </c>
      <c r="U21" s="1"/>
      <c r="V21" s="1"/>
      <c r="W21" s="1"/>
      <c r="X21" s="1"/>
      <c r="Y21" s="1"/>
      <c r="Z21" s="1"/>
      <c r="AA21" s="1"/>
      <c r="AB21" s="8"/>
      <c r="AC21" s="11"/>
      <c r="AD21" s="1" t="s">
        <v>29</v>
      </c>
      <c r="AE21" s="1"/>
      <c r="AF21" s="1"/>
      <c r="AG21" s="1"/>
      <c r="AH21" s="1"/>
      <c r="AI21" s="1"/>
      <c r="AJ21" s="1"/>
      <c r="AK21" s="1"/>
      <c r="AL21" s="8"/>
      <c r="AM21" s="11"/>
      <c r="AN21" s="1" t="s">
        <v>29</v>
      </c>
      <c r="AO21" s="1"/>
      <c r="AP21" s="1"/>
      <c r="AQ21" s="1"/>
      <c r="AR21" s="1"/>
      <c r="AS21" s="1"/>
      <c r="AT21" s="1"/>
      <c r="AU21" s="1"/>
      <c r="AV21" s="8"/>
      <c r="AW21" s="11"/>
      <c r="AX21" s="1" t="s">
        <v>29</v>
      </c>
      <c r="AY21" s="1"/>
      <c r="AZ21" s="1"/>
      <c r="BA21" s="1"/>
      <c r="BB21" s="1"/>
      <c r="BC21" s="1"/>
      <c r="BD21" s="1"/>
      <c r="BE21" s="1"/>
      <c r="BF21" s="8"/>
      <c r="BG21" s="11"/>
      <c r="BH21" s="1" t="s">
        <v>29</v>
      </c>
      <c r="BI21" s="1"/>
      <c r="BJ21" s="1"/>
      <c r="BK21" s="1"/>
      <c r="BL21" s="1"/>
      <c r="BM21" s="1"/>
      <c r="BN21" s="1"/>
      <c r="BO21" s="1"/>
      <c r="BP21" s="8"/>
      <c r="BQ21" s="11"/>
      <c r="BR21" s="1" t="s">
        <v>29</v>
      </c>
      <c r="BS21" s="1"/>
      <c r="BT21" s="1"/>
      <c r="BU21" s="1"/>
      <c r="BV21" s="1"/>
      <c r="BW21" s="1"/>
      <c r="BX21" s="1"/>
      <c r="BY21" s="1"/>
      <c r="BZ21" s="8"/>
      <c r="CA21" s="11"/>
      <c r="CB21" s="1" t="s">
        <v>29</v>
      </c>
      <c r="CC21" s="1"/>
      <c r="CD21" s="1"/>
      <c r="CE21" s="1"/>
      <c r="CF21" s="1"/>
      <c r="CG21" s="1"/>
      <c r="CH21" s="1"/>
      <c r="CI21" s="1"/>
      <c r="CJ21" s="8"/>
    </row>
    <row r="22" spans="1:88" x14ac:dyDescent="0.3">
      <c r="A22" s="71"/>
      <c r="B22" s="25" t="s">
        <v>16</v>
      </c>
      <c r="C22" s="41" t="s">
        <v>72</v>
      </c>
      <c r="D22" s="34">
        <v>8</v>
      </c>
      <c r="E22" s="34">
        <f>(COUNTIF($I22:$BT22,"x"))</f>
        <v>0</v>
      </c>
      <c r="F22" s="14">
        <f t="shared" ref="F22:F23" si="2">(COUNTIF($I22:$CJ22,"p"))</f>
        <v>8</v>
      </c>
      <c r="G22" s="28">
        <v>5</v>
      </c>
      <c r="H22" s="65" t="s">
        <v>18</v>
      </c>
      <c r="I22" s="1"/>
      <c r="J22" s="1" t="s">
        <v>29</v>
      </c>
      <c r="K22" s="1"/>
      <c r="L22" s="1"/>
      <c r="M22" s="1"/>
      <c r="N22" s="1"/>
      <c r="O22" s="1"/>
      <c r="P22" s="1"/>
      <c r="Q22" s="1"/>
      <c r="R22" s="8"/>
      <c r="S22" s="11"/>
      <c r="T22" s="1" t="s">
        <v>29</v>
      </c>
      <c r="U22" s="1"/>
      <c r="V22" s="1"/>
      <c r="W22" s="1"/>
      <c r="X22" s="1"/>
      <c r="Y22" s="1"/>
      <c r="Z22" s="1"/>
      <c r="AA22" s="1"/>
      <c r="AB22" s="8"/>
      <c r="AC22" s="11"/>
      <c r="AD22" s="1" t="s">
        <v>29</v>
      </c>
      <c r="AE22" s="1"/>
      <c r="AF22" s="1"/>
      <c r="AG22" s="1"/>
      <c r="AH22" s="1"/>
      <c r="AI22" s="1"/>
      <c r="AJ22" s="1"/>
      <c r="AK22" s="1"/>
      <c r="AL22" s="8"/>
      <c r="AM22" s="11"/>
      <c r="AN22" s="1" t="s">
        <v>29</v>
      </c>
      <c r="AO22" s="1"/>
      <c r="AP22" s="1"/>
      <c r="AQ22" s="1"/>
      <c r="AR22" s="1"/>
      <c r="AS22" s="1"/>
      <c r="AT22" s="1"/>
      <c r="AU22" s="1"/>
      <c r="AV22" s="8"/>
      <c r="AW22" s="11"/>
      <c r="AX22" s="1" t="s">
        <v>29</v>
      </c>
      <c r="AY22" s="1"/>
      <c r="AZ22" s="1"/>
      <c r="BA22" s="1"/>
      <c r="BB22" s="1"/>
      <c r="BC22" s="1"/>
      <c r="BD22" s="1"/>
      <c r="BE22" s="1"/>
      <c r="BF22" s="8"/>
      <c r="BG22" s="11"/>
      <c r="BH22" s="1" t="s">
        <v>29</v>
      </c>
      <c r="BI22" s="1"/>
      <c r="BJ22" s="1"/>
      <c r="BK22" s="1"/>
      <c r="BL22" s="1"/>
      <c r="BM22" s="1"/>
      <c r="BN22" s="1"/>
      <c r="BO22" s="1"/>
      <c r="BP22" s="8"/>
      <c r="BQ22" s="11"/>
      <c r="BR22" s="1" t="s">
        <v>29</v>
      </c>
      <c r="BS22" s="1"/>
      <c r="BT22" s="1"/>
      <c r="BU22" s="1"/>
      <c r="BV22" s="1"/>
      <c r="BW22" s="1"/>
      <c r="BX22" s="1"/>
      <c r="BY22" s="1"/>
      <c r="BZ22" s="8"/>
      <c r="CA22" s="11"/>
      <c r="CB22" s="1" t="s">
        <v>29</v>
      </c>
      <c r="CC22" s="1"/>
      <c r="CD22" s="1"/>
      <c r="CE22" s="1"/>
      <c r="CF22" s="1"/>
      <c r="CG22" s="1"/>
      <c r="CH22" s="1"/>
      <c r="CI22" s="1"/>
      <c r="CJ22" s="8"/>
    </row>
    <row r="23" spans="1:88" x14ac:dyDescent="0.3">
      <c r="A23" s="71"/>
      <c r="B23" s="25" t="s">
        <v>59</v>
      </c>
      <c r="C23" s="41" t="s">
        <v>73</v>
      </c>
      <c r="D23" s="34">
        <v>8</v>
      </c>
      <c r="E23" s="34">
        <f>(COUNTIF($I23:$BT23,"x"))</f>
        <v>0</v>
      </c>
      <c r="F23" s="14">
        <f t="shared" si="2"/>
        <v>8</v>
      </c>
      <c r="G23" s="28">
        <v>5</v>
      </c>
      <c r="H23" s="65" t="s">
        <v>18</v>
      </c>
      <c r="I23" s="1"/>
      <c r="J23" s="1" t="s">
        <v>29</v>
      </c>
      <c r="K23" s="1"/>
      <c r="L23" s="1"/>
      <c r="M23" s="1"/>
      <c r="N23" s="1"/>
      <c r="O23" s="1"/>
      <c r="P23" s="1"/>
      <c r="Q23" s="1"/>
      <c r="R23" s="8"/>
      <c r="S23" s="11"/>
      <c r="T23" s="1" t="s">
        <v>29</v>
      </c>
      <c r="U23" s="1"/>
      <c r="V23" s="1"/>
      <c r="W23" s="1"/>
      <c r="X23" s="1"/>
      <c r="Y23" s="1"/>
      <c r="Z23" s="1"/>
      <c r="AA23" s="1"/>
      <c r="AB23" s="8"/>
      <c r="AC23" s="11"/>
      <c r="AD23" s="1" t="s">
        <v>29</v>
      </c>
      <c r="AE23" s="1"/>
      <c r="AF23" s="1"/>
      <c r="AG23" s="1"/>
      <c r="AH23" s="1"/>
      <c r="AI23" s="1"/>
      <c r="AJ23" s="1"/>
      <c r="AK23" s="1"/>
      <c r="AL23" s="8"/>
      <c r="AM23" s="11"/>
      <c r="AN23" s="1" t="s">
        <v>29</v>
      </c>
      <c r="AO23" s="1"/>
      <c r="AP23" s="1"/>
      <c r="AQ23" s="1"/>
      <c r="AR23" s="1"/>
      <c r="AS23" s="1"/>
      <c r="AT23" s="1"/>
      <c r="AU23" s="1"/>
      <c r="AV23" s="8"/>
      <c r="AW23" s="11"/>
      <c r="AX23" s="1" t="s">
        <v>29</v>
      </c>
      <c r="AY23" s="1"/>
      <c r="AZ23" s="1"/>
      <c r="BA23" s="1"/>
      <c r="BB23" s="1"/>
      <c r="BC23" s="1"/>
      <c r="BD23" s="1"/>
      <c r="BE23" s="1"/>
      <c r="BF23" s="8"/>
      <c r="BG23" s="11"/>
      <c r="BH23" s="1" t="s">
        <v>29</v>
      </c>
      <c r="BI23" s="1"/>
      <c r="BJ23" s="1"/>
      <c r="BK23" s="1"/>
      <c r="BL23" s="1"/>
      <c r="BM23" s="1"/>
      <c r="BN23" s="1"/>
      <c r="BO23" s="1"/>
      <c r="BP23" s="8"/>
      <c r="BQ23" s="11"/>
      <c r="BR23" s="1" t="s">
        <v>29</v>
      </c>
      <c r="BS23" s="1"/>
      <c r="BT23" s="1"/>
      <c r="BU23" s="1"/>
      <c r="BV23" s="1"/>
      <c r="BW23" s="1"/>
      <c r="BX23" s="1"/>
      <c r="BY23" s="1"/>
      <c r="BZ23" s="8"/>
      <c r="CA23" s="11"/>
      <c r="CB23" s="1" t="s">
        <v>29</v>
      </c>
      <c r="CC23" s="1"/>
      <c r="CD23" s="1"/>
      <c r="CE23" s="1"/>
      <c r="CF23" s="1"/>
      <c r="CG23" s="1"/>
      <c r="CH23" s="1"/>
      <c r="CI23" s="1"/>
      <c r="CJ23" s="8"/>
    </row>
    <row r="24" spans="1:88" x14ac:dyDescent="0.3">
      <c r="A24" s="71"/>
      <c r="B24" s="32" t="s">
        <v>60</v>
      </c>
      <c r="C24" s="41" t="s">
        <v>82</v>
      </c>
      <c r="D24" s="35">
        <v>48</v>
      </c>
      <c r="E24" s="34">
        <f>(COUNTIF($I24:$BT24,"x")*2)</f>
        <v>0</v>
      </c>
      <c r="F24" s="14">
        <f>(COUNTIF($I24:$CJ24,"p")*4)</f>
        <v>48</v>
      </c>
      <c r="G24" s="28">
        <v>4</v>
      </c>
      <c r="H24" s="65" t="s">
        <v>18</v>
      </c>
      <c r="I24" s="1"/>
      <c r="J24" s="5" t="s">
        <v>29</v>
      </c>
      <c r="K24" s="1"/>
      <c r="L24" s="1"/>
      <c r="M24" s="1"/>
      <c r="N24" s="1"/>
      <c r="O24" s="1"/>
      <c r="P24" s="1"/>
      <c r="Q24" s="1"/>
      <c r="R24" s="8"/>
      <c r="S24" s="11"/>
      <c r="T24" s="5" t="s">
        <v>29</v>
      </c>
      <c r="U24" s="1"/>
      <c r="V24" s="1"/>
      <c r="W24" s="1"/>
      <c r="X24" s="1"/>
      <c r="Y24" s="1"/>
      <c r="Z24" s="1"/>
      <c r="AA24" s="1"/>
      <c r="AB24" s="8"/>
      <c r="AC24" s="11"/>
      <c r="AD24" s="5" t="s">
        <v>29</v>
      </c>
      <c r="AE24" s="1"/>
      <c r="AF24" s="1"/>
      <c r="AG24" s="1"/>
      <c r="AH24" s="1"/>
      <c r="AI24" s="1"/>
      <c r="AJ24" s="1"/>
      <c r="AK24" s="1"/>
      <c r="AL24" s="8"/>
      <c r="AM24" s="11"/>
      <c r="AN24" s="5" t="s">
        <v>29</v>
      </c>
      <c r="AO24" s="1"/>
      <c r="AP24" s="1"/>
      <c r="AQ24" s="1"/>
      <c r="AR24" s="1"/>
      <c r="AS24" s="1"/>
      <c r="AT24" s="1"/>
      <c r="AU24" s="1"/>
      <c r="AV24" s="8"/>
      <c r="AW24" s="11"/>
      <c r="AX24" s="5" t="s">
        <v>29</v>
      </c>
      <c r="AY24" s="1"/>
      <c r="AZ24" s="1"/>
      <c r="BA24" s="1"/>
      <c r="BB24" s="1"/>
      <c r="BC24" s="1"/>
      <c r="BD24" s="1"/>
      <c r="BE24" s="1"/>
      <c r="BF24" s="8"/>
      <c r="BG24" s="11"/>
      <c r="BH24" s="5" t="s">
        <v>29</v>
      </c>
      <c r="BI24" s="1"/>
      <c r="BJ24" s="1"/>
      <c r="BK24" s="1"/>
      <c r="BL24" s="1"/>
      <c r="BM24" s="1"/>
      <c r="BN24" s="1"/>
      <c r="BO24" s="1"/>
      <c r="BP24" s="8"/>
      <c r="BQ24" s="11"/>
      <c r="BR24" s="5" t="s">
        <v>29</v>
      </c>
      <c r="BS24" s="1"/>
      <c r="BT24" s="1"/>
      <c r="BU24" s="1"/>
      <c r="BV24" s="1"/>
      <c r="BW24" s="1"/>
      <c r="BX24" s="1"/>
      <c r="BY24" s="1"/>
      <c r="BZ24" s="8"/>
      <c r="CA24" s="11"/>
      <c r="CB24" s="5" t="s">
        <v>29</v>
      </c>
      <c r="CC24" s="1"/>
      <c r="CD24" s="1"/>
      <c r="CE24" s="1" t="s">
        <v>29</v>
      </c>
      <c r="CF24" s="1" t="s">
        <v>29</v>
      </c>
      <c r="CG24" s="1" t="s">
        <v>29</v>
      </c>
      <c r="CH24" s="1" t="s">
        <v>29</v>
      </c>
      <c r="CI24" s="1"/>
      <c r="CJ24" s="8"/>
    </row>
    <row r="25" spans="1:88" ht="15" thickBot="1" x14ac:dyDescent="0.35">
      <c r="A25" s="72"/>
      <c r="B25" s="73" t="s">
        <v>83</v>
      </c>
      <c r="C25" s="74" t="s">
        <v>49</v>
      </c>
      <c r="D25" s="75">
        <v>16</v>
      </c>
      <c r="E25" s="75"/>
      <c r="F25" s="76">
        <f>(COUNTIF($I25:$CJ25,"p")*4)</f>
        <v>16</v>
      </c>
      <c r="G25" s="77">
        <v>6</v>
      </c>
      <c r="H25" s="78" t="s">
        <v>18</v>
      </c>
      <c r="I25" s="2"/>
      <c r="J25" s="2"/>
      <c r="K25" s="2"/>
      <c r="L25" s="2"/>
      <c r="M25" s="2"/>
      <c r="N25" s="2"/>
      <c r="O25" s="2"/>
      <c r="P25" s="2"/>
      <c r="Q25" s="2"/>
      <c r="R25" s="13"/>
      <c r="S25" s="12"/>
      <c r="T25" s="2"/>
      <c r="U25" s="2"/>
      <c r="V25" s="2"/>
      <c r="W25" s="2"/>
      <c r="X25" s="2"/>
      <c r="Y25" s="2"/>
      <c r="Z25" s="2"/>
      <c r="AA25" s="2"/>
      <c r="AB25" s="13"/>
      <c r="AC25" s="12"/>
      <c r="AD25" s="2"/>
      <c r="AE25" s="2"/>
      <c r="AF25" s="2"/>
      <c r="AG25" s="2"/>
      <c r="AH25" s="2"/>
      <c r="AI25" s="2"/>
      <c r="AJ25" s="2"/>
      <c r="AK25" s="2"/>
      <c r="AL25" s="13"/>
      <c r="AM25" s="12"/>
      <c r="AN25" s="2"/>
      <c r="AO25" s="2"/>
      <c r="AP25" s="2"/>
      <c r="AQ25" s="2"/>
      <c r="AR25" s="2"/>
      <c r="AS25" s="2"/>
      <c r="AT25" s="2"/>
      <c r="AU25" s="2"/>
      <c r="AV25" s="13"/>
      <c r="AW25" s="12"/>
      <c r="AX25" s="2"/>
      <c r="AY25" s="2"/>
      <c r="AZ25" s="2"/>
      <c r="BA25" s="2"/>
      <c r="BB25" s="2"/>
      <c r="BC25" s="2"/>
      <c r="BD25" s="2"/>
      <c r="BE25" s="2"/>
      <c r="BF25" s="13"/>
      <c r="BG25" s="12"/>
      <c r="BH25" s="2"/>
      <c r="BI25" s="2"/>
      <c r="BJ25" s="2"/>
      <c r="BK25" s="2"/>
      <c r="BL25" s="2"/>
      <c r="BM25" s="2"/>
      <c r="BN25" s="2"/>
      <c r="BO25" s="2"/>
      <c r="BP25" s="13" t="s">
        <v>29</v>
      </c>
      <c r="BQ25" s="12"/>
      <c r="BR25" s="2"/>
      <c r="BS25" s="2"/>
      <c r="BT25" s="2"/>
      <c r="BU25" s="2"/>
      <c r="BV25" s="2"/>
      <c r="BW25" s="2"/>
      <c r="BX25" s="2"/>
      <c r="BY25" s="2"/>
      <c r="BZ25" s="13" t="s">
        <v>29</v>
      </c>
      <c r="CA25" s="12"/>
      <c r="CB25" s="2"/>
      <c r="CC25" s="2"/>
      <c r="CD25" s="2"/>
      <c r="CE25" s="2"/>
      <c r="CF25" s="2"/>
      <c r="CG25" s="2"/>
      <c r="CH25" s="2"/>
      <c r="CI25" s="2" t="s">
        <v>29</v>
      </c>
      <c r="CJ25" s="13" t="s">
        <v>29</v>
      </c>
    </row>
    <row r="27" spans="1:88" x14ac:dyDescent="0.3">
      <c r="F27" s="7" t="s">
        <v>4</v>
      </c>
      <c r="G27">
        <v>0</v>
      </c>
      <c r="H27" t="s">
        <v>2</v>
      </c>
    </row>
    <row r="28" spans="1:88" x14ac:dyDescent="0.3">
      <c r="G28">
        <v>10</v>
      </c>
      <c r="H28" t="s">
        <v>3</v>
      </c>
      <c r="Q28" s="48" t="s">
        <v>27</v>
      </c>
      <c r="R28" s="48"/>
      <c r="S28" s="48"/>
      <c r="T28" s="48"/>
      <c r="U28" s="48"/>
      <c r="V28" s="48"/>
      <c r="W28" s="48"/>
      <c r="X28" s="48"/>
      <c r="Y28" s="48"/>
    </row>
    <row r="29" spans="1:88" x14ac:dyDescent="0.3">
      <c r="Q29" s="49" t="s">
        <v>28</v>
      </c>
      <c r="R29" s="49"/>
      <c r="S29" s="49"/>
      <c r="T29" s="49"/>
      <c r="U29" s="49"/>
      <c r="V29" s="49"/>
      <c r="W29" s="49"/>
      <c r="X29" s="49"/>
      <c r="Y29" s="49"/>
    </row>
    <row r="30" spans="1:88" x14ac:dyDescent="0.3">
      <c r="F30" s="6" t="s">
        <v>6</v>
      </c>
      <c r="G30" s="4">
        <f>SUM(D3:D36)</f>
        <v>380</v>
      </c>
    </row>
  </sheetData>
  <mergeCells count="20">
    <mergeCell ref="BG1:BP1"/>
    <mergeCell ref="BQ1:BZ1"/>
    <mergeCell ref="A19:A20"/>
    <mergeCell ref="A3:A7"/>
    <mergeCell ref="CA1:CJ1"/>
    <mergeCell ref="A8:A18"/>
    <mergeCell ref="A21:A25"/>
    <mergeCell ref="Q28:Y28"/>
    <mergeCell ref="Q29:Y29"/>
    <mergeCell ref="A1:A2"/>
    <mergeCell ref="B1:B2"/>
    <mergeCell ref="C1:C2"/>
    <mergeCell ref="G1:G2"/>
    <mergeCell ref="H1:H2"/>
    <mergeCell ref="D1:F1"/>
    <mergeCell ref="I1:R1"/>
    <mergeCell ref="S1:AB1"/>
    <mergeCell ref="AC1:AL1"/>
    <mergeCell ref="AM1:AV1"/>
    <mergeCell ref="AW1:BF1"/>
  </mergeCells>
  <conditionalFormatting sqref="I3:CJ25">
    <cfRule type="cellIs" dxfId="3" priority="3" operator="equal">
      <formula>"p"</formula>
    </cfRule>
    <cfRule type="cellIs" dxfId="2" priority="4" operator="equal">
      <formula>"x"</formula>
    </cfRule>
  </conditionalFormatting>
  <conditionalFormatting sqref="Y38:Y39">
    <cfRule type="cellIs" dxfId="1" priority="1" operator="equal">
      <formula>"p"</formula>
    </cfRule>
    <cfRule type="cellIs" dxfId="0" priority="2" operator="equal">
      <formula>"x"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headerFooter>
    <oddHeader>&amp;F</oddHeader>
    <oddFooter>Préparé par Jeanbourquin Paul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B18" sqref="B2:B18"/>
    </sheetView>
  </sheetViews>
  <sheetFormatPr baseColWidth="10" defaultRowHeight="14.4" x14ac:dyDescent="0.3"/>
  <cols>
    <col min="1" max="1" width="19.88671875" customWidth="1"/>
    <col min="2" max="2" width="43.44140625" customWidth="1"/>
  </cols>
  <sheetData>
    <row r="1" spans="1:3" ht="19.8" x14ac:dyDescent="0.4">
      <c r="A1" s="18" t="s">
        <v>0</v>
      </c>
      <c r="B1" s="18" t="s">
        <v>1</v>
      </c>
    </row>
    <row r="2" spans="1:3" x14ac:dyDescent="0.3">
      <c r="A2" s="50" t="s">
        <v>32</v>
      </c>
      <c r="B2" s="10" t="s">
        <v>34</v>
      </c>
      <c r="C2" s="1"/>
    </row>
    <row r="3" spans="1:3" x14ac:dyDescent="0.3">
      <c r="A3" s="51"/>
      <c r="B3" s="8" t="s">
        <v>35</v>
      </c>
      <c r="C3" s="1"/>
    </row>
    <row r="4" spans="1:3" x14ac:dyDescent="0.3">
      <c r="A4" s="51"/>
      <c r="B4" s="8" t="s">
        <v>36</v>
      </c>
      <c r="C4" s="1"/>
    </row>
    <row r="5" spans="1:3" x14ac:dyDescent="0.3">
      <c r="A5" s="51"/>
      <c r="B5" s="19" t="s">
        <v>37</v>
      </c>
      <c r="C5" s="1"/>
    </row>
    <row r="6" spans="1:3" x14ac:dyDescent="0.3">
      <c r="A6" s="52"/>
      <c r="B6" s="22" t="s">
        <v>43</v>
      </c>
      <c r="C6" s="1"/>
    </row>
    <row r="7" spans="1:3" x14ac:dyDescent="0.3">
      <c r="A7" s="50" t="s">
        <v>5</v>
      </c>
      <c r="B7" s="20" t="s">
        <v>38</v>
      </c>
      <c r="C7" s="1"/>
    </row>
    <row r="8" spans="1:3" x14ac:dyDescent="0.3">
      <c r="A8" s="51"/>
      <c r="B8" s="21" t="s">
        <v>39</v>
      </c>
      <c r="C8" s="1"/>
    </row>
    <row r="9" spans="1:3" x14ac:dyDescent="0.3">
      <c r="A9" s="51"/>
      <c r="B9" s="21" t="s">
        <v>40</v>
      </c>
      <c r="C9" s="1"/>
    </row>
    <row r="10" spans="1:3" x14ac:dyDescent="0.3">
      <c r="A10" s="51"/>
      <c r="B10" s="21" t="s">
        <v>41</v>
      </c>
      <c r="C10" s="1"/>
    </row>
    <row r="11" spans="1:3" x14ac:dyDescent="0.3">
      <c r="A11" s="51"/>
      <c r="B11" s="21" t="s">
        <v>42</v>
      </c>
      <c r="C11" s="1"/>
    </row>
    <row r="12" spans="1:3" x14ac:dyDescent="0.3">
      <c r="A12" s="51"/>
      <c r="B12" s="21" t="s">
        <v>44</v>
      </c>
      <c r="C12" s="1"/>
    </row>
    <row r="13" spans="1:3" x14ac:dyDescent="0.3">
      <c r="A13" s="52"/>
      <c r="B13" s="22" t="s">
        <v>45</v>
      </c>
    </row>
    <row r="14" spans="1:3" x14ac:dyDescent="0.3">
      <c r="A14" s="50" t="s">
        <v>33</v>
      </c>
      <c r="B14" s="20" t="s">
        <v>46</v>
      </c>
    </row>
    <row r="15" spans="1:3" x14ac:dyDescent="0.3">
      <c r="A15" s="52"/>
      <c r="B15" s="22" t="s">
        <v>47</v>
      </c>
    </row>
    <row r="16" spans="1:3" x14ac:dyDescent="0.3">
      <c r="A16" s="50" t="s">
        <v>48</v>
      </c>
      <c r="B16" s="20" t="s">
        <v>49</v>
      </c>
    </row>
    <row r="17" spans="1:2" x14ac:dyDescent="0.3">
      <c r="A17" s="51"/>
      <c r="B17" s="21" t="s">
        <v>50</v>
      </c>
    </row>
    <row r="18" spans="1:2" x14ac:dyDescent="0.3">
      <c r="A18" s="52"/>
      <c r="B18" s="22" t="s">
        <v>51</v>
      </c>
    </row>
    <row r="19" spans="1:2" x14ac:dyDescent="0.3">
      <c r="B19" s="5"/>
    </row>
  </sheetData>
  <mergeCells count="4">
    <mergeCell ref="A16:A18"/>
    <mergeCell ref="A2:A6"/>
    <mergeCell ref="A7:A13"/>
    <mergeCell ref="A14:A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Tasks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Jeanbourquin Paul</dc:creator>
  <cp:lastModifiedBy>Fasmeyer Florian</cp:lastModifiedBy>
  <cp:lastPrinted>2017-09-26T06:17:56Z</cp:lastPrinted>
  <dcterms:created xsi:type="dcterms:W3CDTF">2017-09-25T13:39:36Z</dcterms:created>
  <dcterms:modified xsi:type="dcterms:W3CDTF">2018-05-20T21:44:40Z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08855c03-294b-408e-92c1-a98ffc2fcf5a</vt:lpwstr>
  </property>
</Properties>
</file>